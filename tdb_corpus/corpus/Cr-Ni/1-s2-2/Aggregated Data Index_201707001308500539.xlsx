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U:\assess\sfb761\crni\Paper\version 2016\Supplement\"/>
    </mc:Choice>
  </mc:AlternateContent>
  <bookViews>
    <workbookView xWindow="9885" yWindow="-15" windowWidth="19230" windowHeight="5985" tabRatio="748"/>
  </bookViews>
  <sheets>
    <sheet name="Index" sheetId="1" r:id="rId1"/>
    <sheet name="zuBesorgen" sheetId="30" state="hidden" r:id="rId2"/>
  </sheets>
  <definedNames>
    <definedName name="_xlnm.Print_Titles" localSheetId="0">Index!$1:$1</definedName>
  </definedNames>
  <calcPr calcId="152511"/>
</workbook>
</file>

<file path=xl/calcChain.xml><?xml version="1.0" encoding="utf-8"?>
<calcChain xmlns="http://schemas.openxmlformats.org/spreadsheetml/2006/main">
  <c r="B1" i="1" l="1"/>
  <c r="B55" i="1" s="1"/>
  <c r="B2" i="1" l="1"/>
  <c r="B41" i="1"/>
  <c r="B25" i="1"/>
  <c r="B48" i="1"/>
  <c r="B32" i="1"/>
  <c r="B16" i="1"/>
  <c r="B39" i="1"/>
  <c r="B15" i="1"/>
  <c r="B5" i="1"/>
  <c r="B9" i="1"/>
  <c r="B49" i="1"/>
  <c r="B33" i="1"/>
  <c r="B17" i="1"/>
  <c r="B40" i="1"/>
  <c r="B24" i="1"/>
  <c r="B8" i="1"/>
  <c r="B47" i="1"/>
  <c r="B31" i="1"/>
  <c r="B23" i="1"/>
  <c r="B7" i="1"/>
  <c r="B46" i="1"/>
  <c r="B30" i="1"/>
  <c r="B14" i="1"/>
  <c r="B53" i="1"/>
  <c r="B37" i="1"/>
  <c r="B21" i="1"/>
  <c r="B13" i="1"/>
  <c r="B44" i="1"/>
  <c r="B28" i="1"/>
  <c r="B12" i="1"/>
  <c r="B4" i="1"/>
  <c r="B51" i="1"/>
  <c r="B43" i="1"/>
  <c r="B35" i="1"/>
  <c r="B27" i="1"/>
  <c r="B19" i="1"/>
  <c r="B11" i="1"/>
  <c r="B3" i="1"/>
  <c r="B38" i="1"/>
  <c r="B22" i="1"/>
  <c r="B6" i="1"/>
  <c r="B45" i="1"/>
  <c r="B29" i="1"/>
  <c r="B52" i="1"/>
  <c r="B36" i="1"/>
  <c r="B20" i="1"/>
  <c r="B50" i="1"/>
  <c r="B42" i="1"/>
  <c r="B34" i="1"/>
  <c r="B26" i="1"/>
  <c r="B18" i="1"/>
  <c r="B10" i="1"/>
  <c r="B54" i="1"/>
</calcChain>
</file>

<file path=xl/comments1.xml><?xml version="1.0" encoding="utf-8"?>
<comments xmlns="http://schemas.openxmlformats.org/spreadsheetml/2006/main">
  <authors>
    <author>Florian Tang</author>
  </authors>
  <commentList>
    <comment ref="B1" authorId="0" shapeId="0">
      <text>
        <r>
          <rPr>
            <b/>
            <sz val="9"/>
            <color indexed="81"/>
            <rFont val="Tahoma"/>
            <charset val="1"/>
          </rPr>
          <t>Florian Tang:</t>
        </r>
        <r>
          <rPr>
            <sz val="9"/>
            <color indexed="81"/>
            <rFont val="Tahoma"/>
            <charset val="1"/>
          </rPr>
          <t xml:space="preserve">
diese Zelle enthält den Dateipfad (aktualisiert sich selbst), damit die Links unten als 'relative' Pfade funktionieren.</t>
        </r>
      </text>
    </comment>
    <comment ref="H4" authorId="0" shapeId="0">
      <text>
        <r>
          <rPr>
            <b/>
            <sz val="9"/>
            <color indexed="81"/>
            <rFont val="Tahoma"/>
            <charset val="1"/>
          </rPr>
          <t>Florian Tang:</t>
        </r>
        <r>
          <rPr>
            <sz val="9"/>
            <color indexed="81"/>
            <rFont val="Tahoma"/>
            <charset val="1"/>
          </rPr>
          <t xml:space="preserve">
Bildungsenergien für CrNi2</t>
        </r>
      </text>
    </comment>
    <comment ref="E8" authorId="0" shapeId="0">
      <text>
        <r>
          <rPr>
            <b/>
            <sz val="9"/>
            <color indexed="81"/>
            <rFont val="Tahoma"/>
            <charset val="1"/>
          </rPr>
          <t xml:space="preserve">Florian Tang
</t>
        </r>
        <r>
          <rPr>
            <sz val="9"/>
            <color indexed="81"/>
            <rFont val="Tahoma"/>
            <family val="2"/>
          </rPr>
          <t>keine Daten außer skizze von Phasendiagramm</t>
        </r>
      </text>
    </comment>
    <comment ref="F8" authorId="0" shapeId="0">
      <text>
        <r>
          <rPr>
            <b/>
            <sz val="9"/>
            <color indexed="81"/>
            <rFont val="Tahoma"/>
            <charset val="1"/>
          </rPr>
          <t>Florian Tang:</t>
        </r>
        <r>
          <rPr>
            <sz val="9"/>
            <color indexed="81"/>
            <rFont val="Tahoma"/>
            <charset val="1"/>
          </rPr>
          <t xml:space="preserve">
nicht vollständig</t>
        </r>
      </text>
    </comment>
    <comment ref="I9" authorId="0" shapeId="0">
      <text>
        <r>
          <rPr>
            <b/>
            <sz val="9"/>
            <color indexed="81"/>
            <rFont val="Tahoma"/>
            <family val="2"/>
          </rPr>
          <t>Florian Tang:</t>
        </r>
        <r>
          <rPr>
            <sz val="9"/>
            <color indexed="81"/>
            <rFont val="Tahoma"/>
            <family val="2"/>
          </rPr>
          <t xml:space="preserve">
verwendet 72Yuk, mit falscher delta-phase (!)</t>
        </r>
      </text>
    </comment>
    <comment ref="F10" authorId="0" shapeId="0">
      <text>
        <r>
          <rPr>
            <b/>
            <sz val="9"/>
            <color indexed="81"/>
            <rFont val="Tahoma"/>
            <charset val="1"/>
          </rPr>
          <t>Florian Tang:</t>
        </r>
        <r>
          <rPr>
            <sz val="9"/>
            <color indexed="81"/>
            <rFont val="Tahoma"/>
            <charset val="1"/>
          </rPr>
          <t xml:space="preserve">
gute Übersicht von 86Nas, 95Tom, 93Udo</t>
        </r>
      </text>
    </comment>
    <comment ref="H12" authorId="0" shapeId="0">
      <text>
        <r>
          <rPr>
            <b/>
            <sz val="9"/>
            <color indexed="81"/>
            <rFont val="Tahoma"/>
            <charset val="1"/>
          </rPr>
          <t>Florian Tang:</t>
        </r>
        <r>
          <rPr>
            <sz val="9"/>
            <color indexed="81"/>
            <rFont val="Tahoma"/>
            <charset val="1"/>
          </rPr>
          <t xml:space="preserve">
Bildungsenthalpie (?)</t>
        </r>
      </text>
    </comment>
    <comment ref="E13" authorId="0" shapeId="0">
      <text>
        <r>
          <rPr>
            <b/>
            <sz val="9"/>
            <color indexed="81"/>
            <rFont val="Tahoma"/>
            <charset val="1"/>
          </rPr>
          <t>Florian Tang:</t>
        </r>
        <r>
          <rPr>
            <sz val="9"/>
            <color indexed="81"/>
            <rFont val="Tahoma"/>
            <charset val="1"/>
          </rPr>
          <t xml:space="preserve">
jedenfalls so halb.</t>
        </r>
      </text>
    </comment>
    <comment ref="H14" authorId="0" shapeId="0">
      <text>
        <r>
          <rPr>
            <b/>
            <sz val="9"/>
            <color indexed="81"/>
            <rFont val="Tahoma"/>
            <charset val="1"/>
          </rPr>
          <t>Florian Tang:</t>
        </r>
        <r>
          <rPr>
            <sz val="9"/>
            <color indexed="81"/>
            <rFont val="Tahoma"/>
            <charset val="1"/>
          </rPr>
          <t xml:space="preserve">
keine Messung</t>
        </r>
      </text>
    </comment>
    <comment ref="F17" authorId="0" shapeId="0">
      <text>
        <r>
          <rPr>
            <b/>
            <sz val="9"/>
            <color indexed="81"/>
            <rFont val="Tahoma"/>
            <charset val="1"/>
          </rPr>
          <t>Florian Tang:</t>
        </r>
        <r>
          <rPr>
            <sz val="9"/>
            <color indexed="81"/>
            <rFont val="Tahoma"/>
            <charset val="1"/>
          </rPr>
          <t xml:space="preserve">
sehr dubios und anders als die allermeisten (und falsch) im solvus-Cr-Bereich. Sehr brauchbar auf der anderen Seite.</t>
        </r>
      </text>
    </comment>
    <comment ref="F18" authorId="0" shapeId="0">
      <text>
        <r>
          <rPr>
            <b/>
            <sz val="9"/>
            <color indexed="81"/>
            <rFont val="Tahoma"/>
            <charset val="1"/>
          </rPr>
          <t>Florian Tang:</t>
        </r>
        <r>
          <rPr>
            <sz val="9"/>
            <color indexed="81"/>
            <rFont val="Tahoma"/>
            <charset val="1"/>
          </rPr>
          <t xml:space="preserve">
extrem lange Glühzeiten (bis 10.000h), daher um 33wt% Cr sehr gute Ergebnisse</t>
        </r>
      </text>
    </comment>
    <comment ref="I18" authorId="0" shapeId="0">
      <text>
        <r>
          <rPr>
            <b/>
            <sz val="9"/>
            <color indexed="81"/>
            <rFont val="Tahoma"/>
            <charset val="1"/>
          </rPr>
          <t>Florian Tang:</t>
        </r>
        <r>
          <rPr>
            <sz val="9"/>
            <color indexed="81"/>
            <rFont val="Tahoma"/>
            <charset val="1"/>
          </rPr>
          <t xml:space="preserve">
nahezu alle phasenübergänge sind aus gitterparameteränderungen bestimmt</t>
        </r>
      </text>
    </comment>
    <comment ref="G19" authorId="0" shapeId="0">
      <text>
        <r>
          <rPr>
            <b/>
            <sz val="9"/>
            <color indexed="81"/>
            <rFont val="Tahoma"/>
            <charset val="1"/>
          </rPr>
          <t>Florian Tang:</t>
        </r>
        <r>
          <rPr>
            <sz val="9"/>
            <color indexed="81"/>
            <rFont val="Tahoma"/>
            <family val="2"/>
          </rPr>
          <t xml:space="preserve">
EMF-Messungen gegen Cr2O3 bei hohen Temperaturen, widerspruch zu 94Pei</t>
        </r>
      </text>
    </comment>
    <comment ref="H19" authorId="0" shapeId="0">
      <text>
        <r>
          <rPr>
            <b/>
            <sz val="9"/>
            <color indexed="81"/>
            <rFont val="Tahoma"/>
            <family val="2"/>
          </rPr>
          <t>Florian Tang:</t>
        </r>
        <r>
          <rPr>
            <sz val="9"/>
            <color indexed="81"/>
            <rFont val="Tahoma"/>
            <family val="2"/>
          </rPr>
          <t xml:space="preserve">
berechnet aus EMF-Messungen</t>
        </r>
      </text>
    </comment>
    <comment ref="G21" authorId="0" shapeId="0">
      <text>
        <r>
          <rPr>
            <b/>
            <sz val="9"/>
            <color indexed="81"/>
            <rFont val="Tahoma"/>
            <family val="2"/>
          </rPr>
          <t>Florian Tang:</t>
        </r>
        <r>
          <rPr>
            <sz val="9"/>
            <color indexed="81"/>
            <rFont val="Tahoma"/>
            <family val="2"/>
          </rPr>
          <t xml:space="preserve">
widerlegt 87Kat ziemlich deutlich</t>
        </r>
      </text>
    </comment>
    <comment ref="G22" authorId="0" shapeId="0">
      <text>
        <r>
          <rPr>
            <b/>
            <sz val="9"/>
            <color indexed="81"/>
            <rFont val="Tahoma"/>
            <charset val="1"/>
          </rPr>
          <t>Florian Tang:</t>
        </r>
        <r>
          <rPr>
            <sz val="9"/>
            <color indexed="81"/>
            <rFont val="Tahoma"/>
            <charset val="1"/>
          </rPr>
          <t xml:space="preserve">
größtenteils widerlegt durch 73Rao</t>
        </r>
      </text>
    </comment>
    <comment ref="H23" authorId="0" shapeId="0">
      <text>
        <r>
          <rPr>
            <b/>
            <sz val="9"/>
            <color indexed="81"/>
            <rFont val="Tahoma"/>
            <charset val="1"/>
          </rPr>
          <t>Florian Tang:</t>
        </r>
        <r>
          <rPr>
            <sz val="9"/>
            <color indexed="81"/>
            <rFont val="Tahoma"/>
            <charset val="1"/>
          </rPr>
          <t xml:space="preserve">
1729 K</t>
        </r>
      </text>
    </comment>
    <comment ref="H24" authorId="0" shapeId="0">
      <text>
        <r>
          <rPr>
            <b/>
            <sz val="9"/>
            <color indexed="81"/>
            <rFont val="Tahoma"/>
            <charset val="1"/>
          </rPr>
          <t>Florian Tang:</t>
        </r>
        <r>
          <rPr>
            <sz val="9"/>
            <color indexed="81"/>
            <rFont val="Tahoma"/>
            <charset val="1"/>
          </rPr>
          <t xml:space="preserve">
2200 K</t>
        </r>
      </text>
    </comment>
    <comment ref="H25" authorId="0" shapeId="0">
      <text>
        <r>
          <rPr>
            <b/>
            <sz val="9"/>
            <color indexed="81"/>
            <rFont val="Tahoma"/>
            <charset val="1"/>
          </rPr>
          <t>Florian Tang:</t>
        </r>
        <r>
          <rPr>
            <sz val="9"/>
            <color indexed="81"/>
            <rFont val="Tahoma"/>
            <charset val="1"/>
          </rPr>
          <t xml:space="preserve">
nur Entropie (?)</t>
        </r>
      </text>
    </comment>
    <comment ref="H26" authorId="0" shapeId="0">
      <text>
        <r>
          <rPr>
            <b/>
            <sz val="9"/>
            <color indexed="81"/>
            <rFont val="Tahoma"/>
            <charset val="1"/>
          </rPr>
          <t>Florian Tang:</t>
        </r>
        <r>
          <rPr>
            <sz val="9"/>
            <color indexed="81"/>
            <rFont val="Tahoma"/>
            <charset val="1"/>
          </rPr>
          <t xml:space="preserve">
1990 K Mischungsenthalpie</t>
        </r>
      </text>
    </comment>
    <comment ref="H27" authorId="0" shapeId="0">
      <text>
        <r>
          <rPr>
            <b/>
            <sz val="9"/>
            <color indexed="81"/>
            <rFont val="Tahoma"/>
            <charset val="1"/>
          </rPr>
          <t>Florian Tang:</t>
        </r>
        <r>
          <rPr>
            <sz val="9"/>
            <color indexed="81"/>
            <rFont val="Tahoma"/>
            <charset val="1"/>
          </rPr>
          <t xml:space="preserve">
unbrauchbar, originaldaten nicht verwertbar…alles gefittet</t>
        </r>
      </text>
    </comment>
    <comment ref="M27" authorId="0" shapeId="0">
      <text>
        <r>
          <rPr>
            <b/>
            <sz val="9"/>
            <color indexed="81"/>
            <rFont val="Tahoma"/>
            <charset val="1"/>
          </rPr>
          <t>Florian Tang:</t>
        </r>
        <r>
          <rPr>
            <sz val="9"/>
            <color indexed="81"/>
            <rFont val="Tahoma"/>
            <charset val="1"/>
          </rPr>
          <t xml:space="preserve">
benutzt "TAP" statt redlich kister.</t>
        </r>
      </text>
    </comment>
    <comment ref="F28" authorId="0" shapeId="0">
      <text>
        <r>
          <rPr>
            <b/>
            <sz val="9"/>
            <color indexed="81"/>
            <rFont val="Tahoma"/>
            <charset val="1"/>
          </rPr>
          <t>Florian Tang:</t>
        </r>
        <r>
          <rPr>
            <sz val="9"/>
            <color indexed="81"/>
            <rFont val="Tahoma"/>
            <charset val="1"/>
          </rPr>
          <t xml:space="preserve">
Graphiken sehr schlecht, kaum zu gebrauchen. Paper in anderer Version besorgen?</t>
        </r>
      </text>
    </comment>
    <comment ref="M28" authorId="0" shapeId="0">
      <text>
        <r>
          <rPr>
            <b/>
            <sz val="9"/>
            <color indexed="81"/>
            <rFont val="Tahoma"/>
            <charset val="1"/>
          </rPr>
          <t>Florian Tang:</t>
        </r>
        <r>
          <rPr>
            <sz val="9"/>
            <color indexed="81"/>
            <rFont val="Tahoma"/>
            <charset val="1"/>
          </rPr>
          <t xml:space="preserve">
nicht bewertet, aber sehr detailliert</t>
        </r>
      </text>
    </comment>
    <comment ref="H29" authorId="0" shapeId="0">
      <text>
        <r>
          <rPr>
            <b/>
            <sz val="9"/>
            <color indexed="81"/>
            <rFont val="Tahoma"/>
            <charset val="1"/>
          </rPr>
          <t>Florian Tang:</t>
        </r>
        <r>
          <rPr>
            <sz val="9"/>
            <color indexed="81"/>
            <rFont val="Tahoma"/>
            <charset val="1"/>
          </rPr>
          <t xml:space="preserve">
nur für sigma-phase</t>
        </r>
      </text>
    </comment>
    <comment ref="H30" authorId="0" shapeId="0">
      <text>
        <r>
          <rPr>
            <b/>
            <sz val="9"/>
            <color indexed="81"/>
            <rFont val="Tahoma"/>
            <charset val="1"/>
          </rPr>
          <t>Florian Tang:</t>
        </r>
        <r>
          <rPr>
            <sz val="9"/>
            <color indexed="81"/>
            <rFont val="Tahoma"/>
            <charset val="1"/>
          </rPr>
          <t xml:space="preserve">
1500K
</t>
        </r>
      </text>
    </comment>
    <comment ref="F32" authorId="0" shapeId="0">
      <text>
        <r>
          <rPr>
            <b/>
            <sz val="9"/>
            <color indexed="81"/>
            <rFont val="Tahoma"/>
            <charset val="1"/>
          </rPr>
          <t>Florian Tang:</t>
        </r>
        <r>
          <rPr>
            <sz val="9"/>
            <color indexed="81"/>
            <rFont val="Tahoma"/>
            <charset val="1"/>
          </rPr>
          <t xml:space="preserve">
mit delta- &amp; sigma- Chrom (!)</t>
        </r>
      </text>
    </comment>
    <comment ref="I32" authorId="0" shapeId="0">
      <text>
        <r>
          <rPr>
            <b/>
            <sz val="9"/>
            <color indexed="81"/>
            <rFont val="Tahoma"/>
            <charset val="1"/>
          </rPr>
          <t>Florian Tang:</t>
        </r>
        <r>
          <rPr>
            <sz val="9"/>
            <color indexed="81"/>
            <rFont val="Tahoma"/>
            <charset val="1"/>
          </rPr>
          <t xml:space="preserve">
inklusive relativ wohlwollender interpretation (und herbeidichtung) von delta-chrom</t>
        </r>
      </text>
    </comment>
    <comment ref="F33" authorId="0" shapeId="0">
      <text>
        <r>
          <rPr>
            <b/>
            <sz val="9"/>
            <color indexed="81"/>
            <rFont val="Tahoma"/>
            <charset val="1"/>
          </rPr>
          <t>Florian Tang:</t>
        </r>
        <r>
          <rPr>
            <sz val="9"/>
            <color indexed="81"/>
            <rFont val="Tahoma"/>
            <charset val="1"/>
          </rPr>
          <t xml:space="preserve">
enthält Ordnungsphase Ni2Cr-Bildungstemperatur</t>
        </r>
      </text>
    </comment>
    <comment ref="H33" authorId="0" shapeId="0">
      <text>
        <r>
          <rPr>
            <b/>
            <sz val="9"/>
            <color indexed="81"/>
            <rFont val="Tahoma"/>
            <charset val="1"/>
          </rPr>
          <t>Florian Tang:</t>
        </r>
        <r>
          <rPr>
            <sz val="9"/>
            <color indexed="81"/>
            <rFont val="Tahoma"/>
            <charset val="1"/>
          </rPr>
          <t xml:space="preserve">
Bildungsenthalpie für Ni2Cr</t>
        </r>
      </text>
    </comment>
    <comment ref="H36" authorId="0" shapeId="0">
      <text>
        <r>
          <rPr>
            <b/>
            <sz val="9"/>
            <color indexed="81"/>
            <rFont val="Tahoma"/>
            <charset val="1"/>
          </rPr>
          <t>Florian Tang:</t>
        </r>
        <r>
          <rPr>
            <sz val="9"/>
            <color indexed="81"/>
            <rFont val="Tahoma"/>
            <charset val="1"/>
          </rPr>
          <t xml:space="preserve">
1538 K</t>
        </r>
      </text>
    </comment>
    <comment ref="G37" authorId="0" shapeId="0">
      <text>
        <r>
          <rPr>
            <b/>
            <sz val="9"/>
            <color indexed="81"/>
            <rFont val="Tahoma"/>
            <charset val="1"/>
          </rPr>
          <t>Florian Tang:</t>
        </r>
        <r>
          <rPr>
            <sz val="9"/>
            <color indexed="81"/>
            <rFont val="Tahoma"/>
            <charset val="1"/>
          </rPr>
          <t xml:space="preserve">
Ion Intensity Radii</t>
        </r>
      </text>
    </comment>
    <comment ref="H37" authorId="0" shapeId="0">
      <text>
        <r>
          <rPr>
            <b/>
            <sz val="9"/>
            <color indexed="81"/>
            <rFont val="Tahoma"/>
            <charset val="1"/>
          </rPr>
          <t>Florian Tang:</t>
        </r>
        <r>
          <rPr>
            <sz val="9"/>
            <color indexed="81"/>
            <rFont val="Tahoma"/>
            <charset val="1"/>
          </rPr>
          <t xml:space="preserve">
unverwendbar</t>
        </r>
      </text>
    </comment>
    <comment ref="G38" authorId="0" shapeId="0">
      <text>
        <r>
          <rPr>
            <b/>
            <sz val="9"/>
            <color indexed="81"/>
            <rFont val="Tahoma"/>
            <charset val="1"/>
          </rPr>
          <t>Florian Tang:</t>
        </r>
        <r>
          <rPr>
            <sz val="9"/>
            <color indexed="81"/>
            <rFont val="Tahoma"/>
            <charset val="1"/>
          </rPr>
          <t xml:space="preserve">
Ion Intensity Radii</t>
        </r>
      </text>
    </comment>
    <comment ref="G40" authorId="0" shapeId="0">
      <text>
        <r>
          <rPr>
            <b/>
            <sz val="9"/>
            <color indexed="81"/>
            <rFont val="Tahoma"/>
            <charset val="1"/>
          </rPr>
          <t>Florian Tang:</t>
        </r>
        <r>
          <rPr>
            <sz val="9"/>
            <color indexed="81"/>
            <rFont val="Tahoma"/>
            <charset val="1"/>
          </rPr>
          <t xml:space="preserve">
widerlegt 70Pug recht deutlich</t>
        </r>
      </text>
    </comment>
    <comment ref="H40" authorId="0" shapeId="0">
      <text>
        <r>
          <rPr>
            <b/>
            <sz val="9"/>
            <color indexed="81"/>
            <rFont val="Tahoma"/>
            <charset val="1"/>
          </rPr>
          <t>Florian Tang:</t>
        </r>
        <r>
          <rPr>
            <sz val="9"/>
            <color indexed="81"/>
            <rFont val="Tahoma"/>
            <charset val="1"/>
          </rPr>
          <t xml:space="preserve">
nur berechnet, nicht mit Daten hinterlegt</t>
        </r>
      </text>
    </comment>
    <comment ref="H42" authorId="0" shapeId="0">
      <text>
        <r>
          <rPr>
            <b/>
            <sz val="9"/>
            <color indexed="81"/>
            <rFont val="Tahoma"/>
            <charset val="1"/>
          </rPr>
          <t>Florian Tang:</t>
        </r>
        <r>
          <rPr>
            <sz val="9"/>
            <color indexed="81"/>
            <rFont val="Tahoma"/>
            <charset val="1"/>
          </rPr>
          <t xml:space="preserve">
1600 K und darunter</t>
        </r>
      </text>
    </comment>
    <comment ref="D43" authorId="0" shapeId="0">
      <text>
        <r>
          <rPr>
            <b/>
            <sz val="9"/>
            <color indexed="81"/>
            <rFont val="Tahoma"/>
            <family val="2"/>
          </rPr>
          <t>Florian Tang:</t>
        </r>
        <r>
          <rPr>
            <sz val="9"/>
            <color indexed="81"/>
            <rFont val="Tahoma"/>
            <family val="2"/>
          </rPr>
          <t xml:space="preserve">
nutzlos - auch wenn andere da Daten rausgezogen haben. Wie, keine Ahnung.</t>
        </r>
      </text>
    </comment>
    <comment ref="F46" authorId="0" shapeId="0">
      <text>
        <r>
          <rPr>
            <b/>
            <sz val="9"/>
            <color indexed="81"/>
            <rFont val="Tahoma"/>
            <charset val="1"/>
          </rPr>
          <t>Florian Tang:</t>
        </r>
        <r>
          <rPr>
            <sz val="9"/>
            <color indexed="81"/>
            <rFont val="Tahoma"/>
            <charset val="1"/>
          </rPr>
          <t xml:space="preserve">
nur die ni2cr-phasentemperatur!</t>
        </r>
      </text>
    </comment>
    <comment ref="H47" authorId="0" shapeId="0">
      <text>
        <r>
          <rPr>
            <b/>
            <sz val="9"/>
            <color indexed="81"/>
            <rFont val="Tahoma"/>
            <charset val="1"/>
          </rPr>
          <t>Florian Tang:</t>
        </r>
        <r>
          <rPr>
            <sz val="9"/>
            <color indexed="81"/>
            <rFont val="Tahoma"/>
            <charset val="1"/>
          </rPr>
          <t xml:space="preserve">
1650°C
</t>
        </r>
      </text>
    </comment>
  </commentList>
</comments>
</file>

<file path=xl/sharedStrings.xml><?xml version="1.0" encoding="utf-8"?>
<sst xmlns="http://schemas.openxmlformats.org/spreadsheetml/2006/main" count="292" uniqueCount="182">
  <si>
    <t>Index</t>
  </si>
  <si>
    <t>Baer_HG_Z_Metallkd_1958.pdf</t>
  </si>
  <si>
    <t>58Bae</t>
  </si>
  <si>
    <t>61Bec</t>
  </si>
  <si>
    <t>Bechtoldt_Trans_Metall_Soc_AIME_1961.pdf</t>
  </si>
  <si>
    <t>06Cha</t>
  </si>
  <si>
    <t>Chan_KS_Metall_Trans_A_2006.pdf</t>
  </si>
  <si>
    <t>88Col</t>
  </si>
  <si>
    <t>Collins_MJ_Mater_Sci_Technol_1988.pdf</t>
  </si>
  <si>
    <t>11Con</t>
  </si>
  <si>
    <t>Connetable_Calphad_2011.pdf</t>
  </si>
  <si>
    <t>94Lan</t>
  </si>
  <si>
    <t>Cr-Ni.pdf</t>
  </si>
  <si>
    <t>81Bul</t>
  </si>
  <si>
    <t>Cr-Ni_1981.pdf</t>
  </si>
  <si>
    <t>86Nas</t>
  </si>
  <si>
    <t>Cr-Ni_1986.pdf</t>
  </si>
  <si>
    <t>97Oka</t>
  </si>
  <si>
    <t>Cr-Ni_1997.pdf</t>
  </si>
  <si>
    <t>73Fil</t>
  </si>
  <si>
    <t>Filippov_Izv_Vyssh_Uchebn_Zaved_Chern_Metall_1973.pdf</t>
  </si>
  <si>
    <t>12Iso</t>
  </si>
  <si>
    <t>Isomaki_J_Alloys_Compd_2012.pdf</t>
  </si>
  <si>
    <t>05Jaa</t>
  </si>
  <si>
    <t>Jaansalu_Can_Metall_Quart_2005.pdf</t>
  </si>
  <si>
    <t>34Jet</t>
  </si>
  <si>
    <t>Jette_Trans_AIME_1934.pdf</t>
  </si>
  <si>
    <t>82Kar</t>
  </si>
  <si>
    <t>Karmazin_Mater_Sci_Eng_1982.pdf</t>
  </si>
  <si>
    <t>Katayama_I_Trans_Japan_Inst_Met_1987_c.pdf</t>
  </si>
  <si>
    <t>87Kat</t>
  </si>
  <si>
    <t>92Lee</t>
  </si>
  <si>
    <t>Lee_BJ_Calphad_1992.pdf</t>
  </si>
  <si>
    <t>94Pei</t>
  </si>
  <si>
    <t>Pei_W_Scand_J_Metall_1994.pdf</t>
  </si>
  <si>
    <t>CrNi-92Lee-AT.pdf</t>
  </si>
  <si>
    <t>Jenkins_CHM_J_Iron_Steel_Inst_1937_1.pdf</t>
  </si>
  <si>
    <t>Jenkins_CHM_J_Iron_Steel_Inst_1937_2.pdf</t>
  </si>
  <si>
    <t>70Pug</t>
  </si>
  <si>
    <t>02Sal</t>
  </si>
  <si>
    <t>99Sud</t>
  </si>
  <si>
    <t>51Tay</t>
  </si>
  <si>
    <t>98Thi</t>
  </si>
  <si>
    <t>95Tom</t>
  </si>
  <si>
    <t>93Udo</t>
  </si>
  <si>
    <t>06Vre</t>
  </si>
  <si>
    <t>95Wat</t>
  </si>
  <si>
    <t>Pugliese_Metall_Trans_1970.pdf</t>
  </si>
  <si>
    <t>Saltykov_J_Mater_Sci_Technol_2002.pdf</t>
  </si>
  <si>
    <t>Sudavtsova_Russ_Metall_1999.pdf</t>
  </si>
  <si>
    <t>Taylor_A_J_Inst_Met_1951.pdf</t>
  </si>
  <si>
    <t>Thiedemann_Steel_Res_1998.pdf</t>
  </si>
  <si>
    <t>Tomiska_Metall_Trans_A_1995.pdf</t>
  </si>
  <si>
    <t>Udovsky_Calphad_1993.pdf</t>
  </si>
  <si>
    <t>Vrestal_Comput_Mater_Sci_2006.pdf</t>
  </si>
  <si>
    <t>Watson_A_J_Alloys_Compd_1995.pdf</t>
  </si>
  <si>
    <t>M.Hansen: Constitution of Binary Alloys, Metallurgy and Metallurgical Engineering Series, McGraw-Hill Book Co., 2nd Ed., 1958</t>
  </si>
  <si>
    <t>K. A. Osipov and E. M. Miroshkina, Investigation of alloys of the system nickel-chromium by hothardness tests, Trudy Inst. Met. im. A. A. Baikova, No. 3, 160 (1958).</t>
  </si>
  <si>
    <t>Metapaper</t>
  </si>
  <si>
    <t>58Pan</t>
  </si>
  <si>
    <t>Panish_MB_J_Phys_Chem_1958.pdf</t>
  </si>
  <si>
    <t xml:space="preserve"> R. HULTGREN, P. D. DESAI, D. T. HAWKINS, M. GLEISER, K. K. KELLEY, and D. D. WAGMAN: 'Selected values of the thermodynamic properties of binary alloys', 708; 1973, Metals Park, OH, ASM.</t>
  </si>
  <si>
    <t>first-principles</t>
  </si>
  <si>
    <t>72Yuk</t>
  </si>
  <si>
    <t>Yukawa_N_Metall_Trans_1972.pdf</t>
  </si>
  <si>
    <t>R.O. Williams: Nature of the Ni-Cr System, Trans. AIME, 1957, vol. 209, p 1257</t>
  </si>
  <si>
    <t>halb</t>
  </si>
  <si>
    <t>69Hir</t>
  </si>
  <si>
    <t>Hirabayashi_M_JIM_Trans_1969.pdf</t>
  </si>
  <si>
    <t>Mazandarany_FN_Met_Trans_1973.pdf</t>
  </si>
  <si>
    <t>73Maz</t>
  </si>
  <si>
    <t>s.o.</t>
  </si>
  <si>
    <t>E.Z. Vintajkin and G. G. Urushadze, Ukr. Fiz. Zh., 15 (1970) 132</t>
  </si>
  <si>
    <t>E.Z. Vintajkin and G. G. Urushadze, Fiz. Met. Metalloved., 27 (1969) 895</t>
  </si>
  <si>
    <t>57Wil</t>
  </si>
  <si>
    <t>Williams_RO_Trans_AIME_1957.pdf</t>
  </si>
  <si>
    <t>63Den</t>
  </si>
  <si>
    <t>Dench-W-A_Trans_Faraday_Soc_1963.pdf</t>
  </si>
  <si>
    <t>S.W. Gilby and G.R.St. Pierre: Trans. Met. Soc. AIME, 245 (1969), 1749</t>
  </si>
  <si>
    <t>S. Wagner, D. J. Shade, and G. R. St. Pierre, Met. Trans., 3, 47 (1972)</t>
  </si>
  <si>
    <t>J.M. McCormack: Diss. Abstr. Int., 1972, B32, 3968</t>
  </si>
  <si>
    <t>L.S. Chistyakov, K.V. Grigorovich and A.Ya. Stomakhin: Izv. Vyssh. Ucheb. Zaved., Cher. Metall, 1992, 2, 102</t>
  </si>
  <si>
    <t>E. Ichise, K. Shaw and S. Tanigucki: J. Mass Spectrometry Soc. Japan, 1993, 41, 343</t>
  </si>
  <si>
    <t>R.J. Fruehan: Trans. Met. Soc. AIME, 1968, 242, 2007</t>
  </si>
  <si>
    <t>J. Houserová, J. Vrest'ál, M. Sob, Calphad 29 (2005) 133-139</t>
  </si>
  <si>
    <t>M.V. Rao and E.L. Flores-Magon: Metall. Trans., 1973, vol 4, p 2571-73</t>
  </si>
  <si>
    <t>B. Sundman and J. Agren: J. Phys. Chem. Solids, 1981, vol 42, p 297-301</t>
  </si>
  <si>
    <t>vermutlich unnötig</t>
  </si>
  <si>
    <t xml:space="preserve"> http://dx.doi.org/10.1016/j.jallcom.2003.10.071  ---- K. Chvátalová, J. Houserová, M. Sob, J. Vrestál, J. Alloys Comp. 378 (2004) 71-74 </t>
  </si>
  <si>
    <t>http://dx.doi.org/10.1016/0921-5093(94)90371-9 ---- Phase transformations and recrystallization in Ni-33at.%Cr alloy    Jan Krejčí, Lubomír Karmazin</t>
  </si>
  <si>
    <t xml:space="preserve">http://www.osti.gov/energycitations/product.biblio.jsp?osti_id=4714252 ---- V.N. Svetchnikov, V.M. Pan, Issled. Zharoprochn. Splavam, 8 (1962), p47-56 </t>
  </si>
  <si>
    <t>http://dx.doi.org/10.1016/0036-9748(83)90081-9 ---- Naohara, Shinohara: Sigma phase formation in Cr-Ni binary alloy system, Scripta Metallurgica 17, 1 (1983) p111-114</t>
  </si>
  <si>
    <t>http://www.osti.gov/energycitations/product.biblio.jsp?osti_id=4381835 ---- T. B. Douglas and J. L. Dever, Enthalpy and specific heat of four corrosion-resistant alloys at high temperatures, J. Res. NBS 54, 15 (1955) RP2560.</t>
  </si>
  <si>
    <t>O. Kubaschewski and K. Hack, Z. Metallkd., 70(12) (1979) 789</t>
  </si>
  <si>
    <t>72Wag</t>
  </si>
  <si>
    <t>Wagner-S_Met_Trans_1972.pdf</t>
  </si>
  <si>
    <t>http://onlinelibrary.wiley.com/doi/10.1002/bbpc.19600640605/abstract ---- O. Kubaschewski, W.A. Dench and G. Heymer: Z. Elektrochemie, 1960, 64, 801</t>
  </si>
  <si>
    <t>Ichise-E_J_Mass_Spectrom_Soc_Jpn_1993.pdf</t>
  </si>
  <si>
    <t>93Ich</t>
  </si>
  <si>
    <t>http://dx.doi.org/10.1016/S0927-0256(02)00335-X ---- J. Houserová, M.Friák, M. Sob, J. Vrest'ál, Comp. Mat. Sci. 25 (2002) 562-569</t>
  </si>
  <si>
    <t>Ratanapupech, P.; Bautista, R. G.: High. Temp. Sci. 14 (1981), p 269-283</t>
  </si>
  <si>
    <t>Gilby_SW_Trans_Met_Soc_AIME_1969.pdf</t>
  </si>
  <si>
    <t>69Gil</t>
  </si>
  <si>
    <t>37Jen</t>
  </si>
  <si>
    <t>Rao-MV_Met_Trans_1973.pdf</t>
  </si>
  <si>
    <t>73Rao</t>
  </si>
  <si>
    <t>Naohara_T_Scr_Metallurg_1983.pdf</t>
  </si>
  <si>
    <t>83Nao</t>
  </si>
  <si>
    <t>Kubaschewski_O_Z_Elektrochem_1960.pdf</t>
  </si>
  <si>
    <t>60Kub</t>
  </si>
  <si>
    <t>Osipov_KA_Trudy_Inst_Met_Baikova_1958.pdf</t>
  </si>
  <si>
    <t>58Osi</t>
  </si>
  <si>
    <t>Chvatalova_K_J_Alloys_Comp_2004.pdf</t>
  </si>
  <si>
    <t>04Chv</t>
  </si>
  <si>
    <t>Vintajkin_EZ_Fiz_Met_Metalloved_1969.pdf</t>
  </si>
  <si>
    <t>69Vin</t>
  </si>
  <si>
    <t>70Vin</t>
  </si>
  <si>
    <t>Vintajkin_EZ_Ukr_Fiz_Zh_1970.pdf</t>
  </si>
  <si>
    <t>72McC</t>
  </si>
  <si>
    <t>McCormack_JM_Diss_Abstr_Int_1972.pdf</t>
  </si>
  <si>
    <t>Svetchnikov_VN_Sbornik_Inst_Metallofiziki_1962.pdf</t>
  </si>
  <si>
    <t>62Sve</t>
  </si>
  <si>
    <t>?</t>
  </si>
  <si>
    <t>Ustinovshikov_Y_Alloys_Compd_2012.pdf</t>
  </si>
  <si>
    <t>Diss_Saltikov.pdf</t>
  </si>
  <si>
    <t>Kosugi_M_Bul_Alloy_Ph_Dia_1989.pdf</t>
  </si>
  <si>
    <t>L.S. Chistyakov, A.Ya. Stomakhin and K.V. Grigorovich: Izv. Rossiiskoi Akademii Nauk, Metally, 1993, 4, 20 bestellt</t>
  </si>
  <si>
    <t>G.I. Batalin, V.P.Kurach and V.S. Sudavtsova: Ukr. Khim. Zh., 1983, 49, 547 bestellt</t>
  </si>
  <si>
    <t>Batalin_GI_Ukr_Zhim_Zur_1983.pdf</t>
  </si>
  <si>
    <t>83Bat</t>
  </si>
  <si>
    <t>Filename</t>
  </si>
  <si>
    <t>Read</t>
  </si>
  <si>
    <t>lattice parameters</t>
  </si>
  <si>
    <t>experiment</t>
  </si>
  <si>
    <t>magnetic moments</t>
  </si>
  <si>
    <t>thermo-model</t>
  </si>
  <si>
    <t>included in the pop-file</t>
  </si>
  <si>
    <t>Chistyakov_LS_Russ_Metall_1993.pdf</t>
  </si>
  <si>
    <t>93Chi</t>
  </si>
  <si>
    <t>printed</t>
  </si>
  <si>
    <t>Kajihara_M_Metall_Trans_A_1990.pdf</t>
  </si>
  <si>
    <t>P-X experiments</t>
  </si>
  <si>
    <t>A-X experiment</t>
  </si>
  <si>
    <t>H-X experiments</t>
  </si>
  <si>
    <t>06Tur</t>
  </si>
  <si>
    <t>Turchi_Calphad_2006.pdf</t>
  </si>
  <si>
    <t>thorough work, 0-25%Cr investigated</t>
  </si>
  <si>
    <t>constituitive measurements, scattered</t>
  </si>
  <si>
    <t>fcc and bcc solvus are good</t>
  </si>
  <si>
    <t>51Tay data is wrong</t>
  </si>
  <si>
    <t>incomprehensible</t>
  </si>
  <si>
    <t>no exp data</t>
  </si>
  <si>
    <t>oldest data</t>
  </si>
  <si>
    <t>weird superstructures proclaimed</t>
  </si>
  <si>
    <t>only few things about CrNI</t>
  </si>
  <si>
    <t>good high temp activity</t>
  </si>
  <si>
    <t>very short paper, good data</t>
  </si>
  <si>
    <t>solvus at low temp</t>
  </si>
  <si>
    <t>major reason for revision of high T enthalpy</t>
  </si>
  <si>
    <t>no original data</t>
  </si>
  <si>
    <t>no added value</t>
  </si>
  <si>
    <t>few things binary, mostly ternary</t>
  </si>
  <si>
    <t>good activity data</t>
  </si>
  <si>
    <t>delta chrome?</t>
  </si>
  <si>
    <t>no useable information, CrNi2 details</t>
  </si>
  <si>
    <t>well done work</t>
  </si>
  <si>
    <t>uses wrong high t enthalpy</t>
  </si>
  <si>
    <t>proclaimed ordered structures</t>
  </si>
  <si>
    <t xml:space="preserve">fcc and bcc solvus </t>
  </si>
  <si>
    <t>good low t enthalpy</t>
  </si>
  <si>
    <t>no useable exp data</t>
  </si>
  <si>
    <t>sigma phase in NiCr ?</t>
  </si>
  <si>
    <t>no data included</t>
  </si>
  <si>
    <t>little binary work</t>
  </si>
  <si>
    <t>formation enthalpy of CrNi2</t>
  </si>
  <si>
    <t>weird extrapolations</t>
  </si>
  <si>
    <t>no new data</t>
  </si>
  <si>
    <t>solidus and liquidus, good data</t>
  </si>
  <si>
    <t>me no russian</t>
  </si>
  <si>
    <t>yes</t>
  </si>
  <si>
    <t>no</t>
  </si>
  <si>
    <t>Note! This is only the index page of the Excel file. The following pages contains clips (figures, tables and text) from the cited papers. For copyright reasons these cannot be included here.</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</si>
</sst>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u/>
      <sz val="11"/>
      <color theme="10"/>
      <name val="Calibri"/>
      <family val="2"/>
      <scheme val="minor"/>
    </font>
    <font>
      <sz val="9"/>
      <color indexed="81"/>
      <name val="Tahoma"/>
      <charset val="1"/>
    </font>
    <font>
      <b/>
      <sz val="9"/>
      <color indexed="81"/>
      <name val="Tahoma"/>
      <charset val="1"/>
    </font>
    <font>
      <sz val="11"/>
      <color rgb="FFFF0000"/>
      <name val="Calibri"/>
      <family val="2"/>
      <scheme val="minor"/>
    </font>
    <font>
      <sz val="9"/>
      <color indexed="81"/>
      <name val="Tahoma"/>
      <family val="2"/>
    </font>
    <font>
      <b/>
      <sz val="9"/>
      <color indexed="81"/>
      <name val="Tahoma"/>
      <family val="2"/>
    </font>
    <font>
      <sz val="11"/>
      <name val="Calibri"/>
      <family val="2"/>
      <scheme val="minor"/>
    </font>
  </fonts>
  <fills count="4">
    <fill>
      <patternFill patternType="none"/>
    </fill>
    <fill>
      <patternFill patternType="gray125"/>
    </fill>
    <fill>
      <patternFill patternType="solid">
        <fgColor rgb="FF00B050"/>
        <bgColor indexed="64"/>
      </patternFill>
    </fill>
    <fill>
      <patternFill patternType="solid">
        <fgColor rgb="FF92D05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0">
    <xf numFmtId="0" fontId="0" fillId="0" borderId="0" xfId="0"/>
    <xf numFmtId="0" fontId="1" fillId="0" borderId="0" xfId="1"/>
    <xf numFmtId="0" fontId="0" fillId="0" borderId="0" xfId="0" applyAlignment="1">
      <alignment textRotation="45"/>
    </xf>
    <xf numFmtId="0" fontId="0" fillId="2" borderId="0" xfId="0" applyFill="1"/>
    <xf numFmtId="0" fontId="0" fillId="3" borderId="0" xfId="0" applyFill="1"/>
    <xf numFmtId="0" fontId="4" fillId="0" borderId="0" xfId="0" applyFont="1"/>
    <xf numFmtId="0" fontId="7" fillId="3" borderId="0" xfId="0" applyFont="1" applyFill="1"/>
    <xf numFmtId="0" fontId="7" fillId="2" borderId="0" xfId="0" applyFont="1" applyFill="1"/>
    <xf numFmtId="0" fontId="7" fillId="0" borderId="0" xfId="0" applyFont="1"/>
    <xf numFmtId="0" fontId="1" fillId="0" borderId="0" xfId="1" applyAlignment="1">
      <alignment textRotation="45"/>
    </xf>
  </cellXfs>
  <cellStyles count="2">
    <cellStyle name="Hyperlink" xfId="1" builtinId="8"/>
    <cellStyle name="Normal" xfId="0" builtinId="0"/>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6"/>
  </sheetPr>
  <dimension ref="A1:Q61"/>
  <sheetViews>
    <sheetView tabSelected="1" zoomScaleNormal="100" workbookViewId="0">
      <pane ySplit="2100" activePane="bottomLeft"/>
      <selection pane="bottomLeft" activeCell="G56" sqref="G56"/>
    </sheetView>
  </sheetViews>
  <sheetFormatPr defaultColWidth="11.42578125" defaultRowHeight="15" x14ac:dyDescent="0.25"/>
  <cols>
    <col min="1" max="1" width="8.140625" bestFit="1" customWidth="1"/>
    <col min="2" max="2" width="12.28515625" customWidth="1"/>
    <col min="3" max="3" width="29.28515625" customWidth="1"/>
    <col min="4" max="4" width="7.140625" customWidth="1"/>
    <col min="5" max="5" width="7" customWidth="1"/>
    <col min="6" max="14" width="4.7109375" customWidth="1"/>
    <col min="15" max="15" width="3.85546875" customWidth="1"/>
    <col min="16" max="16" width="4.7109375" customWidth="1"/>
    <col min="17" max="17" width="68.85546875" customWidth="1"/>
  </cols>
  <sheetData>
    <row r="1" spans="1:17" ht="90" x14ac:dyDescent="0.25">
      <c r="A1" t="s">
        <v>0</v>
      </c>
      <c r="B1" t="e">
        <f ca="1">CELL("dateiname")</f>
        <v>#VALUE!</v>
      </c>
      <c r="C1" t="s">
        <v>130</v>
      </c>
      <c r="D1" s="2" t="s">
        <v>131</v>
      </c>
      <c r="E1" s="2" t="s">
        <v>58</v>
      </c>
      <c r="F1" s="2" t="s">
        <v>141</v>
      </c>
      <c r="G1" s="2" t="s">
        <v>142</v>
      </c>
      <c r="H1" s="9" t="s">
        <v>143</v>
      </c>
      <c r="I1" s="2" t="s">
        <v>132</v>
      </c>
      <c r="J1" s="2" t="s">
        <v>62</v>
      </c>
      <c r="K1" s="2" t="s">
        <v>133</v>
      </c>
      <c r="L1" s="2" t="s">
        <v>134</v>
      </c>
      <c r="M1" s="2" t="s">
        <v>135</v>
      </c>
      <c r="N1" s="2" t="s">
        <v>139</v>
      </c>
      <c r="P1" s="2" t="s">
        <v>136</v>
      </c>
    </row>
    <row r="2" spans="1:17" x14ac:dyDescent="0.25">
      <c r="A2" s="1" t="s">
        <v>2</v>
      </c>
      <c r="B2" s="1" t="e">
        <f t="shared" ref="B2:B53" ca="1" si="0">HYPERLINK(LEFT($B$1,SEARCH("\[",$B$1)) &amp; "Literatur\" &amp; C2,"Datei öffnen")</f>
        <v>#VALUE!</v>
      </c>
      <c r="C2" t="s">
        <v>1</v>
      </c>
      <c r="D2" t="s">
        <v>179</v>
      </c>
      <c r="E2" t="s">
        <v>180</v>
      </c>
      <c r="F2">
        <v>1</v>
      </c>
      <c r="G2">
        <v>0</v>
      </c>
      <c r="H2">
        <v>0</v>
      </c>
      <c r="I2">
        <v>1</v>
      </c>
      <c r="J2">
        <v>0</v>
      </c>
      <c r="K2">
        <v>1</v>
      </c>
      <c r="L2">
        <v>0</v>
      </c>
      <c r="M2">
        <v>0</v>
      </c>
      <c r="P2">
        <v>1</v>
      </c>
      <c r="Q2" t="s">
        <v>146</v>
      </c>
    </row>
    <row r="3" spans="1:17" x14ac:dyDescent="0.25">
      <c r="A3" s="1" t="s">
        <v>3</v>
      </c>
      <c r="B3" s="1" t="e">
        <f t="shared" ca="1" si="0"/>
        <v>#VALUE!</v>
      </c>
      <c r="C3" t="s">
        <v>4</v>
      </c>
      <c r="D3" t="s">
        <v>179</v>
      </c>
      <c r="E3" t="s">
        <v>180</v>
      </c>
      <c r="F3">
        <v>1</v>
      </c>
      <c r="G3">
        <v>0</v>
      </c>
      <c r="H3">
        <v>0</v>
      </c>
      <c r="I3">
        <v>1</v>
      </c>
      <c r="J3">
        <v>0</v>
      </c>
      <c r="K3">
        <v>1</v>
      </c>
      <c r="L3">
        <v>0</v>
      </c>
      <c r="M3">
        <v>0</v>
      </c>
      <c r="P3">
        <v>0</v>
      </c>
      <c r="Q3" t="s">
        <v>147</v>
      </c>
    </row>
    <row r="4" spans="1:17" x14ac:dyDescent="0.25">
      <c r="A4" s="1" t="s">
        <v>5</v>
      </c>
      <c r="B4" s="1" t="e">
        <f t="shared" ca="1" si="0"/>
        <v>#VALUE!</v>
      </c>
      <c r="C4" t="s">
        <v>6</v>
      </c>
      <c r="D4" t="s">
        <v>179</v>
      </c>
      <c r="E4" t="s">
        <v>180</v>
      </c>
      <c r="F4">
        <v>0</v>
      </c>
      <c r="G4">
        <v>0</v>
      </c>
      <c r="H4">
        <v>1</v>
      </c>
      <c r="I4">
        <v>1</v>
      </c>
      <c r="J4">
        <v>1</v>
      </c>
      <c r="K4">
        <v>0</v>
      </c>
      <c r="L4">
        <v>0</v>
      </c>
      <c r="M4">
        <v>0</v>
      </c>
      <c r="N4">
        <v>1</v>
      </c>
      <c r="P4">
        <v>0</v>
      </c>
    </row>
    <row r="5" spans="1:17" x14ac:dyDescent="0.25">
      <c r="A5" s="1" t="s">
        <v>7</v>
      </c>
      <c r="B5" s="1" t="e">
        <f t="shared" ca="1" si="0"/>
        <v>#VALUE!</v>
      </c>
      <c r="C5" t="s">
        <v>8</v>
      </c>
      <c r="D5" t="s">
        <v>179</v>
      </c>
      <c r="E5" t="s">
        <v>180</v>
      </c>
      <c r="F5">
        <v>1</v>
      </c>
      <c r="G5">
        <v>0</v>
      </c>
      <c r="H5">
        <v>0</v>
      </c>
      <c r="I5">
        <v>0</v>
      </c>
      <c r="J5">
        <v>0</v>
      </c>
      <c r="K5">
        <v>1</v>
      </c>
      <c r="L5">
        <v>0</v>
      </c>
      <c r="M5">
        <v>0</v>
      </c>
      <c r="P5">
        <v>1</v>
      </c>
      <c r="Q5" t="s">
        <v>148</v>
      </c>
    </row>
    <row r="6" spans="1:17" x14ac:dyDescent="0.25">
      <c r="A6" s="1" t="s">
        <v>9</v>
      </c>
      <c r="B6" s="1" t="e">
        <f t="shared" ca="1" si="0"/>
        <v>#VALUE!</v>
      </c>
      <c r="C6" t="s">
        <v>10</v>
      </c>
      <c r="D6" t="s">
        <v>179</v>
      </c>
      <c r="E6" t="s">
        <v>180</v>
      </c>
      <c r="F6">
        <v>0</v>
      </c>
      <c r="G6">
        <v>0</v>
      </c>
      <c r="H6">
        <v>0</v>
      </c>
      <c r="I6">
        <v>1</v>
      </c>
      <c r="J6">
        <v>1</v>
      </c>
      <c r="K6">
        <v>0</v>
      </c>
      <c r="L6">
        <v>1</v>
      </c>
      <c r="M6">
        <v>0</v>
      </c>
      <c r="P6">
        <v>0</v>
      </c>
    </row>
    <row r="7" spans="1:17" x14ac:dyDescent="0.25">
      <c r="A7" t="s">
        <v>11</v>
      </c>
      <c r="B7" s="1" t="e">
        <f t="shared" ca="1" si="0"/>
        <v>#VALUE!</v>
      </c>
      <c r="C7" t="s">
        <v>12</v>
      </c>
      <c r="D7" t="s">
        <v>179</v>
      </c>
      <c r="E7" t="s">
        <v>179</v>
      </c>
      <c r="P7">
        <v>0</v>
      </c>
    </row>
    <row r="8" spans="1:17" x14ac:dyDescent="0.25">
      <c r="A8" s="1" t="s">
        <v>13</v>
      </c>
      <c r="B8" s="1" t="e">
        <f t="shared" ca="1" si="0"/>
        <v>#VALUE!</v>
      </c>
      <c r="C8" t="s">
        <v>14</v>
      </c>
      <c r="D8" t="s">
        <v>179</v>
      </c>
      <c r="E8" t="s">
        <v>179</v>
      </c>
      <c r="F8">
        <v>1</v>
      </c>
      <c r="G8">
        <v>0</v>
      </c>
      <c r="H8">
        <v>0</v>
      </c>
      <c r="I8">
        <v>1</v>
      </c>
      <c r="J8">
        <v>0</v>
      </c>
      <c r="K8">
        <v>0</v>
      </c>
      <c r="L8">
        <v>0</v>
      </c>
      <c r="M8">
        <v>0</v>
      </c>
      <c r="P8">
        <v>0</v>
      </c>
    </row>
    <row r="9" spans="1:17" x14ac:dyDescent="0.25">
      <c r="A9" t="s">
        <v>15</v>
      </c>
      <c r="B9" s="1" t="e">
        <f t="shared" ca="1" si="0"/>
        <v>#VALUE!</v>
      </c>
      <c r="C9" t="s">
        <v>16</v>
      </c>
      <c r="D9" t="s">
        <v>179</v>
      </c>
      <c r="E9" t="s">
        <v>179</v>
      </c>
      <c r="F9">
        <v>1</v>
      </c>
      <c r="I9">
        <v>1</v>
      </c>
      <c r="P9">
        <v>0</v>
      </c>
      <c r="Q9" t="s">
        <v>149</v>
      </c>
    </row>
    <row r="10" spans="1:17" x14ac:dyDescent="0.25">
      <c r="A10" s="1" t="s">
        <v>17</v>
      </c>
      <c r="B10" s="1" t="e">
        <f t="shared" ca="1" si="0"/>
        <v>#VALUE!</v>
      </c>
      <c r="C10" t="s">
        <v>18</v>
      </c>
      <c r="D10" t="s">
        <v>179</v>
      </c>
      <c r="E10" t="s">
        <v>179</v>
      </c>
      <c r="F10">
        <v>1</v>
      </c>
      <c r="P10">
        <v>0</v>
      </c>
    </row>
    <row r="11" spans="1:17" x14ac:dyDescent="0.25">
      <c r="A11" s="1" t="s">
        <v>31</v>
      </c>
      <c r="B11" s="1" t="e">
        <f t="shared" ca="1" si="0"/>
        <v>#VALUE!</v>
      </c>
      <c r="C11" t="s">
        <v>35</v>
      </c>
      <c r="D11" t="s">
        <v>179</v>
      </c>
      <c r="E11" t="s">
        <v>179</v>
      </c>
      <c r="F11">
        <v>1</v>
      </c>
      <c r="G11">
        <v>1</v>
      </c>
      <c r="H11">
        <v>1</v>
      </c>
      <c r="I11">
        <v>0</v>
      </c>
      <c r="J11">
        <v>0</v>
      </c>
      <c r="K11">
        <v>0</v>
      </c>
      <c r="L11">
        <v>0</v>
      </c>
      <c r="M11">
        <v>1</v>
      </c>
      <c r="P11">
        <v>0</v>
      </c>
    </row>
    <row r="12" spans="1:17" x14ac:dyDescent="0.25">
      <c r="A12" s="1" t="s">
        <v>19</v>
      </c>
      <c r="B12" s="1" t="e">
        <f t="shared" ca="1" si="0"/>
        <v>#VALUE!</v>
      </c>
      <c r="C12" t="s">
        <v>20</v>
      </c>
      <c r="D12" t="s">
        <v>179</v>
      </c>
      <c r="E12" t="s">
        <v>180</v>
      </c>
      <c r="F12">
        <v>0</v>
      </c>
      <c r="G12">
        <v>0</v>
      </c>
      <c r="H12">
        <v>1</v>
      </c>
      <c r="I12">
        <v>0</v>
      </c>
      <c r="J12">
        <v>0</v>
      </c>
      <c r="K12">
        <v>1</v>
      </c>
      <c r="L12">
        <v>0</v>
      </c>
      <c r="M12">
        <v>0</v>
      </c>
      <c r="P12">
        <v>0</v>
      </c>
      <c r="Q12" t="s">
        <v>150</v>
      </c>
    </row>
    <row r="13" spans="1:17" x14ac:dyDescent="0.25">
      <c r="A13" s="1" t="s">
        <v>21</v>
      </c>
      <c r="B13" s="1" t="e">
        <f t="shared" ca="1" si="0"/>
        <v>#VALUE!</v>
      </c>
      <c r="C13" t="s">
        <v>22</v>
      </c>
      <c r="D13" t="s">
        <v>179</v>
      </c>
      <c r="E13" t="s">
        <v>179</v>
      </c>
      <c r="F13">
        <v>0</v>
      </c>
      <c r="G13">
        <v>0</v>
      </c>
      <c r="H13">
        <v>0</v>
      </c>
      <c r="I13">
        <v>0</v>
      </c>
      <c r="J13">
        <v>0</v>
      </c>
      <c r="K13">
        <v>0</v>
      </c>
      <c r="L13">
        <v>0</v>
      </c>
      <c r="M13">
        <v>1</v>
      </c>
      <c r="P13">
        <v>0</v>
      </c>
    </row>
    <row r="14" spans="1:17" x14ac:dyDescent="0.25">
      <c r="A14" s="1" t="s">
        <v>23</v>
      </c>
      <c r="B14" s="1" t="e">
        <f t="shared" ca="1" si="0"/>
        <v>#VALUE!</v>
      </c>
      <c r="C14" t="s">
        <v>24</v>
      </c>
      <c r="D14" t="s">
        <v>179</v>
      </c>
      <c r="E14" t="s">
        <v>179</v>
      </c>
      <c r="F14">
        <v>1</v>
      </c>
      <c r="G14">
        <v>0</v>
      </c>
      <c r="H14">
        <v>1</v>
      </c>
      <c r="I14">
        <v>0</v>
      </c>
      <c r="J14">
        <v>0</v>
      </c>
      <c r="K14">
        <v>0</v>
      </c>
      <c r="L14">
        <v>0</v>
      </c>
      <c r="M14">
        <v>1</v>
      </c>
      <c r="P14">
        <v>0</v>
      </c>
      <c r="Q14" t="s">
        <v>151</v>
      </c>
    </row>
    <row r="15" spans="1:17" x14ac:dyDescent="0.25">
      <c r="A15" s="1" t="s">
        <v>103</v>
      </c>
      <c r="B15" s="1" t="e">
        <f t="shared" ca="1" si="0"/>
        <v>#VALUE!</v>
      </c>
      <c r="C15" t="s">
        <v>36</v>
      </c>
      <c r="D15" t="s">
        <v>179</v>
      </c>
      <c r="E15" t="s">
        <v>180</v>
      </c>
      <c r="F15">
        <v>1</v>
      </c>
      <c r="G15">
        <v>0</v>
      </c>
      <c r="H15">
        <v>0</v>
      </c>
      <c r="I15">
        <v>0</v>
      </c>
      <c r="J15">
        <v>0</v>
      </c>
      <c r="K15">
        <v>1</v>
      </c>
      <c r="L15">
        <v>0</v>
      </c>
      <c r="M15">
        <v>1</v>
      </c>
      <c r="P15">
        <v>1</v>
      </c>
      <c r="Q15" t="s">
        <v>148</v>
      </c>
    </row>
    <row r="16" spans="1:17" hidden="1" x14ac:dyDescent="0.25">
      <c r="B16" s="1" t="e">
        <f t="shared" ca="1" si="0"/>
        <v>#VALUE!</v>
      </c>
      <c r="C16" t="s">
        <v>37</v>
      </c>
      <c r="D16" t="s">
        <v>71</v>
      </c>
      <c r="P16">
        <v>0</v>
      </c>
    </row>
    <row r="17" spans="1:17" x14ac:dyDescent="0.25">
      <c r="A17" s="1" t="s">
        <v>25</v>
      </c>
      <c r="B17" s="1" t="e">
        <f t="shared" ca="1" si="0"/>
        <v>#VALUE!</v>
      </c>
      <c r="C17" t="s">
        <v>26</v>
      </c>
      <c r="D17" t="s">
        <v>179</v>
      </c>
      <c r="E17" t="s">
        <v>180</v>
      </c>
      <c r="F17">
        <v>1</v>
      </c>
      <c r="G17">
        <v>0</v>
      </c>
      <c r="H17">
        <v>0</v>
      </c>
      <c r="I17">
        <v>1</v>
      </c>
      <c r="J17">
        <v>0</v>
      </c>
      <c r="K17">
        <v>1</v>
      </c>
      <c r="L17">
        <v>0</v>
      </c>
      <c r="M17">
        <v>0</v>
      </c>
      <c r="P17">
        <v>1</v>
      </c>
      <c r="Q17" t="s">
        <v>152</v>
      </c>
    </row>
    <row r="18" spans="1:17" x14ac:dyDescent="0.25">
      <c r="A18" s="1" t="s">
        <v>27</v>
      </c>
      <c r="B18" s="1" t="e">
        <f t="shared" ca="1" si="0"/>
        <v>#VALUE!</v>
      </c>
      <c r="C18" t="s">
        <v>28</v>
      </c>
      <c r="D18" t="s">
        <v>179</v>
      </c>
      <c r="E18" t="s">
        <v>180</v>
      </c>
      <c r="F18">
        <v>1</v>
      </c>
      <c r="G18">
        <v>0</v>
      </c>
      <c r="H18">
        <v>0</v>
      </c>
      <c r="I18">
        <v>1</v>
      </c>
      <c r="J18">
        <v>0</v>
      </c>
      <c r="K18">
        <v>1</v>
      </c>
      <c r="L18">
        <v>0</v>
      </c>
      <c r="M18">
        <v>0</v>
      </c>
      <c r="P18">
        <v>1</v>
      </c>
      <c r="Q18" t="s">
        <v>153</v>
      </c>
    </row>
    <row r="19" spans="1:17" x14ac:dyDescent="0.25">
      <c r="A19" s="1" t="s">
        <v>30</v>
      </c>
      <c r="B19" s="1" t="e">
        <f t="shared" ca="1" si="0"/>
        <v>#VALUE!</v>
      </c>
      <c r="C19" t="s">
        <v>29</v>
      </c>
      <c r="D19" t="s">
        <v>179</v>
      </c>
      <c r="E19" t="s">
        <v>180</v>
      </c>
      <c r="F19">
        <v>0</v>
      </c>
      <c r="G19">
        <v>1</v>
      </c>
      <c r="H19">
        <v>0</v>
      </c>
      <c r="I19">
        <v>0</v>
      </c>
      <c r="J19">
        <v>0</v>
      </c>
      <c r="K19">
        <v>1</v>
      </c>
      <c r="L19">
        <v>0</v>
      </c>
      <c r="M19">
        <v>0</v>
      </c>
      <c r="P19">
        <v>1</v>
      </c>
    </row>
    <row r="20" spans="1:17" x14ac:dyDescent="0.25">
      <c r="A20" t="s">
        <v>31</v>
      </c>
      <c r="B20" s="1" t="e">
        <f t="shared" ca="1" si="0"/>
        <v>#VALUE!</v>
      </c>
      <c r="C20" t="s">
        <v>32</v>
      </c>
      <c r="D20" t="s">
        <v>179</v>
      </c>
      <c r="E20" t="s">
        <v>179</v>
      </c>
      <c r="F20">
        <v>1</v>
      </c>
      <c r="Q20" t="s">
        <v>154</v>
      </c>
    </row>
    <row r="21" spans="1:17" x14ac:dyDescent="0.25">
      <c r="A21" s="1" t="s">
        <v>33</v>
      </c>
      <c r="B21" s="1" t="e">
        <f t="shared" ca="1" si="0"/>
        <v>#VALUE!</v>
      </c>
      <c r="C21" t="s">
        <v>34</v>
      </c>
      <c r="D21" t="s">
        <v>179</v>
      </c>
      <c r="E21" t="s">
        <v>180</v>
      </c>
      <c r="F21">
        <v>0</v>
      </c>
      <c r="G21">
        <v>1</v>
      </c>
      <c r="H21">
        <v>0</v>
      </c>
      <c r="I21">
        <v>0</v>
      </c>
      <c r="J21">
        <v>0</v>
      </c>
      <c r="K21">
        <v>1</v>
      </c>
      <c r="L21">
        <v>0</v>
      </c>
      <c r="M21">
        <v>0</v>
      </c>
      <c r="P21">
        <v>1</v>
      </c>
    </row>
    <row r="22" spans="1:17" x14ac:dyDescent="0.25">
      <c r="A22" s="1" t="s">
        <v>38</v>
      </c>
      <c r="B22" s="1" t="e">
        <f t="shared" ca="1" si="0"/>
        <v>#VALUE!</v>
      </c>
      <c r="C22" t="s">
        <v>47</v>
      </c>
      <c r="D22" t="s">
        <v>179</v>
      </c>
      <c r="E22" t="s">
        <v>180</v>
      </c>
      <c r="F22">
        <v>1</v>
      </c>
      <c r="G22">
        <v>1</v>
      </c>
      <c r="H22">
        <v>0</v>
      </c>
      <c r="I22">
        <v>0</v>
      </c>
      <c r="J22">
        <v>0</v>
      </c>
      <c r="K22">
        <v>1</v>
      </c>
      <c r="L22">
        <v>0</v>
      </c>
      <c r="M22">
        <v>0</v>
      </c>
      <c r="P22">
        <v>1</v>
      </c>
    </row>
    <row r="23" spans="1:17" x14ac:dyDescent="0.25">
      <c r="A23" s="1" t="s">
        <v>39</v>
      </c>
      <c r="B23" s="1" t="e">
        <f t="shared" ca="1" si="0"/>
        <v>#VALUE!</v>
      </c>
      <c r="C23" t="s">
        <v>48</v>
      </c>
      <c r="D23" t="s">
        <v>179</v>
      </c>
      <c r="E23" t="s">
        <v>180</v>
      </c>
      <c r="F23">
        <v>1</v>
      </c>
      <c r="G23">
        <v>0</v>
      </c>
      <c r="H23">
        <v>1</v>
      </c>
      <c r="I23">
        <v>0</v>
      </c>
      <c r="J23">
        <v>0</v>
      </c>
      <c r="K23">
        <v>1</v>
      </c>
      <c r="L23">
        <v>0</v>
      </c>
      <c r="M23">
        <v>0</v>
      </c>
      <c r="P23">
        <v>1</v>
      </c>
      <c r="Q23" t="s">
        <v>155</v>
      </c>
    </row>
    <row r="24" spans="1:17" x14ac:dyDescent="0.25">
      <c r="A24" s="1" t="s">
        <v>40</v>
      </c>
      <c r="B24" s="1" t="e">
        <f t="shared" ca="1" si="0"/>
        <v>#VALUE!</v>
      </c>
      <c r="C24" t="s">
        <v>49</v>
      </c>
      <c r="D24" t="s">
        <v>179</v>
      </c>
      <c r="E24" t="s">
        <v>180</v>
      </c>
      <c r="F24">
        <v>0</v>
      </c>
      <c r="G24">
        <v>1</v>
      </c>
      <c r="H24">
        <v>1</v>
      </c>
      <c r="I24">
        <v>0</v>
      </c>
      <c r="J24">
        <v>0</v>
      </c>
      <c r="K24">
        <v>1</v>
      </c>
      <c r="L24">
        <v>0</v>
      </c>
      <c r="M24">
        <v>0</v>
      </c>
      <c r="P24">
        <v>1</v>
      </c>
      <c r="Q24" t="s">
        <v>156</v>
      </c>
    </row>
    <row r="25" spans="1:17" x14ac:dyDescent="0.25">
      <c r="A25" s="1" t="s">
        <v>41</v>
      </c>
      <c r="B25" s="1" t="e">
        <f t="shared" ca="1" si="0"/>
        <v>#VALUE!</v>
      </c>
      <c r="C25" t="s">
        <v>50</v>
      </c>
      <c r="D25" t="s">
        <v>179</v>
      </c>
      <c r="E25" t="s">
        <v>180</v>
      </c>
      <c r="F25">
        <v>1</v>
      </c>
      <c r="G25">
        <v>0</v>
      </c>
      <c r="H25">
        <v>0</v>
      </c>
      <c r="I25">
        <v>1</v>
      </c>
      <c r="J25">
        <v>0</v>
      </c>
      <c r="K25">
        <v>1</v>
      </c>
      <c r="L25">
        <v>0</v>
      </c>
      <c r="M25">
        <v>0</v>
      </c>
      <c r="P25">
        <v>1</v>
      </c>
      <c r="Q25" t="s">
        <v>157</v>
      </c>
    </row>
    <row r="26" spans="1:17" x14ac:dyDescent="0.25">
      <c r="A26" s="1" t="s">
        <v>42</v>
      </c>
      <c r="B26" s="1" t="e">
        <f t="shared" ca="1" si="0"/>
        <v>#VALUE!</v>
      </c>
      <c r="C26" t="s">
        <v>51</v>
      </c>
      <c r="D26" t="s">
        <v>179</v>
      </c>
      <c r="E26" t="s">
        <v>180</v>
      </c>
      <c r="F26">
        <v>0</v>
      </c>
      <c r="G26">
        <v>0</v>
      </c>
      <c r="H26">
        <v>1</v>
      </c>
      <c r="I26">
        <v>0</v>
      </c>
      <c r="J26">
        <v>0</v>
      </c>
      <c r="K26">
        <v>1</v>
      </c>
      <c r="L26">
        <v>0</v>
      </c>
      <c r="M26">
        <v>0</v>
      </c>
      <c r="N26">
        <v>1</v>
      </c>
      <c r="P26">
        <v>1</v>
      </c>
      <c r="Q26" t="s">
        <v>158</v>
      </c>
    </row>
    <row r="27" spans="1:17" x14ac:dyDescent="0.25">
      <c r="A27" s="1" t="s">
        <v>43</v>
      </c>
      <c r="B27" s="1" t="e">
        <f t="shared" ca="1" si="0"/>
        <v>#VALUE!</v>
      </c>
      <c r="C27" t="s">
        <v>52</v>
      </c>
      <c r="D27" t="s">
        <v>179</v>
      </c>
      <c r="E27" t="s">
        <v>180</v>
      </c>
      <c r="F27">
        <v>1</v>
      </c>
      <c r="G27">
        <v>0</v>
      </c>
      <c r="H27">
        <v>1</v>
      </c>
      <c r="I27">
        <v>0</v>
      </c>
      <c r="J27">
        <v>0</v>
      </c>
      <c r="K27">
        <v>1</v>
      </c>
      <c r="L27">
        <v>0</v>
      </c>
      <c r="M27">
        <v>1</v>
      </c>
      <c r="P27">
        <v>0</v>
      </c>
      <c r="Q27" t="s">
        <v>159</v>
      </c>
    </row>
    <row r="28" spans="1:17" x14ac:dyDescent="0.25">
      <c r="A28" t="s">
        <v>44</v>
      </c>
      <c r="B28" s="1" t="e">
        <f t="shared" ca="1" si="0"/>
        <v>#VALUE!</v>
      </c>
      <c r="C28" t="s">
        <v>53</v>
      </c>
      <c r="D28" t="s">
        <v>179</v>
      </c>
      <c r="E28" t="s">
        <v>179</v>
      </c>
      <c r="F28">
        <v>1</v>
      </c>
      <c r="G28">
        <v>1</v>
      </c>
      <c r="H28">
        <v>1</v>
      </c>
      <c r="I28">
        <v>0</v>
      </c>
      <c r="J28">
        <v>0</v>
      </c>
      <c r="K28">
        <v>0</v>
      </c>
      <c r="L28">
        <v>0</v>
      </c>
      <c r="M28">
        <v>1</v>
      </c>
      <c r="P28">
        <v>0</v>
      </c>
      <c r="Q28" t="s">
        <v>160</v>
      </c>
    </row>
    <row r="29" spans="1:17" x14ac:dyDescent="0.25">
      <c r="A29" s="1" t="s">
        <v>45</v>
      </c>
      <c r="B29" s="1" t="e">
        <f t="shared" ca="1" si="0"/>
        <v>#VALUE!</v>
      </c>
      <c r="C29" t="s">
        <v>54</v>
      </c>
      <c r="D29" t="s">
        <v>179</v>
      </c>
      <c r="E29" t="s">
        <v>179</v>
      </c>
      <c r="F29">
        <v>0</v>
      </c>
      <c r="G29">
        <v>0</v>
      </c>
      <c r="H29">
        <v>1</v>
      </c>
      <c r="I29">
        <v>0</v>
      </c>
      <c r="J29">
        <v>1</v>
      </c>
      <c r="K29">
        <v>0</v>
      </c>
      <c r="L29">
        <v>0</v>
      </c>
      <c r="M29">
        <v>1</v>
      </c>
      <c r="P29">
        <v>0</v>
      </c>
      <c r="Q29" t="s">
        <v>161</v>
      </c>
    </row>
    <row r="30" spans="1:17" x14ac:dyDescent="0.25">
      <c r="A30" s="1" t="s">
        <v>46</v>
      </c>
      <c r="B30" s="1" t="e">
        <f t="shared" ca="1" si="0"/>
        <v>#VALUE!</v>
      </c>
      <c r="C30" t="s">
        <v>55</v>
      </c>
      <c r="D30" t="s">
        <v>179</v>
      </c>
      <c r="E30" t="s">
        <v>180</v>
      </c>
      <c r="F30">
        <v>0</v>
      </c>
      <c r="G30">
        <v>0</v>
      </c>
      <c r="H30">
        <v>1</v>
      </c>
      <c r="I30">
        <v>0</v>
      </c>
      <c r="J30">
        <v>0</v>
      </c>
      <c r="K30">
        <v>1</v>
      </c>
      <c r="L30">
        <v>0</v>
      </c>
      <c r="M30">
        <v>0</v>
      </c>
      <c r="N30">
        <v>1</v>
      </c>
      <c r="P30">
        <v>1</v>
      </c>
    </row>
    <row r="31" spans="1:17" x14ac:dyDescent="0.25">
      <c r="A31" s="1" t="s">
        <v>59</v>
      </c>
      <c r="B31" s="1" t="e">
        <f t="shared" ca="1" si="0"/>
        <v>#VALUE!</v>
      </c>
      <c r="C31" t="s">
        <v>60</v>
      </c>
      <c r="D31" t="s">
        <v>179</v>
      </c>
      <c r="E31" t="s">
        <v>180</v>
      </c>
      <c r="F31">
        <v>0</v>
      </c>
      <c r="G31">
        <v>1</v>
      </c>
      <c r="H31">
        <v>0</v>
      </c>
      <c r="I31">
        <v>0</v>
      </c>
      <c r="J31">
        <v>0</v>
      </c>
      <c r="K31">
        <v>1</v>
      </c>
      <c r="L31">
        <v>0</v>
      </c>
      <c r="M31">
        <v>0</v>
      </c>
      <c r="P31">
        <v>1</v>
      </c>
      <c r="Q31" t="s">
        <v>162</v>
      </c>
    </row>
    <row r="32" spans="1:17" x14ac:dyDescent="0.25">
      <c r="A32" s="1" t="s">
        <v>63</v>
      </c>
      <c r="B32" s="1" t="e">
        <f t="shared" ca="1" si="0"/>
        <v>#VALUE!</v>
      </c>
      <c r="C32" t="s">
        <v>64</v>
      </c>
      <c r="D32" t="s">
        <v>179</v>
      </c>
      <c r="E32" t="s">
        <v>180</v>
      </c>
      <c r="F32">
        <v>1</v>
      </c>
      <c r="G32">
        <v>0</v>
      </c>
      <c r="H32">
        <v>0</v>
      </c>
      <c r="I32">
        <v>1</v>
      </c>
      <c r="J32">
        <v>0</v>
      </c>
      <c r="K32">
        <v>1</v>
      </c>
      <c r="L32">
        <v>0</v>
      </c>
      <c r="M32">
        <v>0</v>
      </c>
      <c r="P32">
        <v>0</v>
      </c>
      <c r="Q32" t="s">
        <v>163</v>
      </c>
    </row>
    <row r="33" spans="1:17" x14ac:dyDescent="0.25">
      <c r="A33" s="1" t="s">
        <v>67</v>
      </c>
      <c r="B33" s="1" t="e">
        <f t="shared" ca="1" si="0"/>
        <v>#VALUE!</v>
      </c>
      <c r="C33" t="s">
        <v>68</v>
      </c>
      <c r="D33" t="s">
        <v>179</v>
      </c>
      <c r="E33" t="s">
        <v>180</v>
      </c>
      <c r="F33">
        <v>1</v>
      </c>
      <c r="G33">
        <v>0</v>
      </c>
      <c r="H33">
        <v>1</v>
      </c>
      <c r="I33">
        <v>1</v>
      </c>
      <c r="J33">
        <v>0</v>
      </c>
      <c r="K33">
        <v>1</v>
      </c>
      <c r="L33">
        <v>0</v>
      </c>
      <c r="M33">
        <v>0</v>
      </c>
      <c r="P33">
        <v>0</v>
      </c>
      <c r="Q33" t="s">
        <v>164</v>
      </c>
    </row>
    <row r="34" spans="1:17" x14ac:dyDescent="0.25">
      <c r="A34" s="1" t="s">
        <v>70</v>
      </c>
      <c r="B34" s="1" t="e">
        <f t="shared" ca="1" si="0"/>
        <v>#VALUE!</v>
      </c>
      <c r="C34" t="s">
        <v>69</v>
      </c>
      <c r="D34" t="s">
        <v>179</v>
      </c>
      <c r="E34" t="s">
        <v>180</v>
      </c>
      <c r="F34">
        <v>0</v>
      </c>
      <c r="G34">
        <v>1</v>
      </c>
      <c r="H34">
        <v>0</v>
      </c>
      <c r="I34">
        <v>1</v>
      </c>
      <c r="J34">
        <v>0</v>
      </c>
      <c r="K34">
        <v>1</v>
      </c>
      <c r="L34">
        <v>0</v>
      </c>
      <c r="M34">
        <v>0</v>
      </c>
      <c r="P34">
        <v>1</v>
      </c>
    </row>
    <row r="35" spans="1:17" x14ac:dyDescent="0.25">
      <c r="A35" s="1" t="s">
        <v>74</v>
      </c>
      <c r="B35" s="1" t="e">
        <f t="shared" ca="1" si="0"/>
        <v>#VALUE!</v>
      </c>
      <c r="C35" t="s">
        <v>75</v>
      </c>
      <c r="D35" t="s">
        <v>179</v>
      </c>
      <c r="E35" t="s">
        <v>180</v>
      </c>
      <c r="F35">
        <v>1</v>
      </c>
      <c r="G35">
        <v>0</v>
      </c>
      <c r="H35">
        <v>0</v>
      </c>
      <c r="I35">
        <v>0</v>
      </c>
      <c r="J35">
        <v>0</v>
      </c>
      <c r="K35">
        <v>1</v>
      </c>
      <c r="L35">
        <v>0</v>
      </c>
      <c r="M35">
        <v>0</v>
      </c>
      <c r="P35">
        <v>0</v>
      </c>
      <c r="Q35" t="s">
        <v>168</v>
      </c>
    </row>
    <row r="36" spans="1:17" x14ac:dyDescent="0.25">
      <c r="A36" s="1" t="s">
        <v>76</v>
      </c>
      <c r="B36" s="1" t="e">
        <f t="shared" ca="1" si="0"/>
        <v>#VALUE!</v>
      </c>
      <c r="C36" t="s">
        <v>77</v>
      </c>
      <c r="D36" t="s">
        <v>179</v>
      </c>
      <c r="E36" t="s">
        <v>180</v>
      </c>
      <c r="F36">
        <v>1</v>
      </c>
      <c r="G36">
        <v>0</v>
      </c>
      <c r="H36">
        <v>1</v>
      </c>
      <c r="I36">
        <v>0</v>
      </c>
      <c r="J36">
        <v>0</v>
      </c>
      <c r="K36">
        <v>1</v>
      </c>
      <c r="L36">
        <v>0</v>
      </c>
      <c r="M36">
        <v>0</v>
      </c>
      <c r="N36">
        <v>1</v>
      </c>
      <c r="P36">
        <v>1</v>
      </c>
      <c r="Q36" t="s">
        <v>169</v>
      </c>
    </row>
    <row r="37" spans="1:17" x14ac:dyDescent="0.25">
      <c r="A37" s="1" t="s">
        <v>94</v>
      </c>
      <c r="B37" s="1" t="e">
        <f t="shared" ca="1" si="0"/>
        <v>#VALUE!</v>
      </c>
      <c r="C37" t="s">
        <v>95</v>
      </c>
      <c r="D37" t="s">
        <v>179</v>
      </c>
      <c r="E37" t="s">
        <v>180</v>
      </c>
      <c r="F37">
        <v>0</v>
      </c>
      <c r="G37">
        <v>1</v>
      </c>
      <c r="H37">
        <v>1</v>
      </c>
      <c r="I37">
        <v>0</v>
      </c>
      <c r="J37">
        <v>0</v>
      </c>
      <c r="K37">
        <v>1</v>
      </c>
      <c r="L37">
        <v>0</v>
      </c>
      <c r="M37">
        <v>0</v>
      </c>
      <c r="P37">
        <v>0</v>
      </c>
      <c r="Q37" t="s">
        <v>170</v>
      </c>
    </row>
    <row r="38" spans="1:17" x14ac:dyDescent="0.25">
      <c r="A38" s="1" t="s">
        <v>98</v>
      </c>
      <c r="B38" s="1" t="e">
        <f t="shared" ca="1" si="0"/>
        <v>#VALUE!</v>
      </c>
      <c r="C38" t="s">
        <v>97</v>
      </c>
      <c r="D38" t="s">
        <v>179</v>
      </c>
      <c r="E38" t="s">
        <v>180</v>
      </c>
      <c r="F38">
        <v>0</v>
      </c>
      <c r="G38">
        <v>1</v>
      </c>
      <c r="H38">
        <v>0</v>
      </c>
      <c r="I38">
        <v>0</v>
      </c>
      <c r="J38">
        <v>0</v>
      </c>
      <c r="K38">
        <v>1</v>
      </c>
      <c r="L38">
        <v>0</v>
      </c>
      <c r="M38">
        <v>0</v>
      </c>
      <c r="P38">
        <v>0</v>
      </c>
      <c r="Q38" t="s">
        <v>170</v>
      </c>
    </row>
    <row r="39" spans="1:17" x14ac:dyDescent="0.25">
      <c r="A39" s="1" t="s">
        <v>102</v>
      </c>
      <c r="B39" s="1" t="e">
        <f t="shared" ca="1" si="0"/>
        <v>#VALUE!</v>
      </c>
      <c r="C39" t="s">
        <v>101</v>
      </c>
      <c r="D39" t="s">
        <v>179</v>
      </c>
      <c r="E39" t="s">
        <v>180</v>
      </c>
      <c r="F39">
        <v>0</v>
      </c>
      <c r="G39">
        <v>1</v>
      </c>
      <c r="H39">
        <v>0</v>
      </c>
      <c r="I39">
        <v>0</v>
      </c>
      <c r="J39">
        <v>0</v>
      </c>
      <c r="K39">
        <v>1</v>
      </c>
      <c r="L39">
        <v>0</v>
      </c>
      <c r="M39">
        <v>0</v>
      </c>
      <c r="N39">
        <v>1</v>
      </c>
      <c r="P39">
        <v>1</v>
      </c>
    </row>
    <row r="40" spans="1:17" x14ac:dyDescent="0.25">
      <c r="A40" s="1" t="s">
        <v>105</v>
      </c>
      <c r="B40" s="1" t="e">
        <f t="shared" ca="1" si="0"/>
        <v>#VALUE!</v>
      </c>
      <c r="C40" t="s">
        <v>104</v>
      </c>
      <c r="D40" t="s">
        <v>179</v>
      </c>
      <c r="E40" t="s">
        <v>180</v>
      </c>
      <c r="F40">
        <v>0</v>
      </c>
      <c r="G40">
        <v>1</v>
      </c>
      <c r="H40">
        <v>0</v>
      </c>
      <c r="I40">
        <v>0</v>
      </c>
      <c r="J40">
        <v>0</v>
      </c>
      <c r="K40">
        <v>1</v>
      </c>
      <c r="L40">
        <v>0</v>
      </c>
      <c r="M40">
        <v>1</v>
      </c>
      <c r="P40">
        <v>1</v>
      </c>
    </row>
    <row r="41" spans="1:17" x14ac:dyDescent="0.25">
      <c r="A41" t="s">
        <v>107</v>
      </c>
      <c r="B41" s="1" t="e">
        <f t="shared" ca="1" si="0"/>
        <v>#VALUE!</v>
      </c>
      <c r="C41" t="s">
        <v>106</v>
      </c>
      <c r="D41" t="s">
        <v>179</v>
      </c>
      <c r="E41" t="s">
        <v>180</v>
      </c>
      <c r="F41">
        <v>0</v>
      </c>
      <c r="G41">
        <v>0</v>
      </c>
      <c r="H41">
        <v>0</v>
      </c>
      <c r="I41">
        <v>1</v>
      </c>
      <c r="J41">
        <v>0</v>
      </c>
      <c r="K41">
        <v>1</v>
      </c>
      <c r="L41">
        <v>0</v>
      </c>
      <c r="M41">
        <v>0</v>
      </c>
      <c r="P41">
        <v>0</v>
      </c>
      <c r="Q41" t="s">
        <v>171</v>
      </c>
    </row>
    <row r="42" spans="1:17" x14ac:dyDescent="0.25">
      <c r="A42" s="1" t="s">
        <v>109</v>
      </c>
      <c r="B42" s="1" t="e">
        <f t="shared" ca="1" si="0"/>
        <v>#VALUE!</v>
      </c>
      <c r="C42" t="s">
        <v>108</v>
      </c>
      <c r="D42" t="s">
        <v>179</v>
      </c>
      <c r="E42" t="s">
        <v>180</v>
      </c>
      <c r="F42">
        <v>1</v>
      </c>
      <c r="G42">
        <v>1</v>
      </c>
      <c r="H42">
        <v>1</v>
      </c>
      <c r="I42">
        <v>0</v>
      </c>
      <c r="J42">
        <v>0</v>
      </c>
      <c r="K42">
        <v>1</v>
      </c>
      <c r="L42">
        <v>0</v>
      </c>
      <c r="M42">
        <v>0</v>
      </c>
      <c r="P42">
        <v>1</v>
      </c>
    </row>
    <row r="43" spans="1:17" x14ac:dyDescent="0.25">
      <c r="A43" t="s">
        <v>111</v>
      </c>
      <c r="B43" s="1" t="e">
        <f t="shared" ca="1" si="0"/>
        <v>#VALUE!</v>
      </c>
      <c r="C43" t="s">
        <v>110</v>
      </c>
      <c r="D43" t="s">
        <v>179</v>
      </c>
      <c r="E43" t="s">
        <v>180</v>
      </c>
      <c r="F43">
        <v>0</v>
      </c>
      <c r="G43">
        <v>0</v>
      </c>
      <c r="H43">
        <v>0</v>
      </c>
      <c r="I43">
        <v>0</v>
      </c>
      <c r="J43">
        <v>0</v>
      </c>
      <c r="K43">
        <v>0</v>
      </c>
      <c r="L43">
        <v>0</v>
      </c>
      <c r="M43">
        <v>0</v>
      </c>
      <c r="N43">
        <v>1</v>
      </c>
      <c r="P43">
        <v>0</v>
      </c>
      <c r="Q43" t="s">
        <v>172</v>
      </c>
    </row>
    <row r="44" spans="1:17" x14ac:dyDescent="0.25">
      <c r="A44" s="1" t="s">
        <v>113</v>
      </c>
      <c r="B44" s="1" t="e">
        <f t="shared" ca="1" si="0"/>
        <v>#VALUE!</v>
      </c>
      <c r="C44" t="s">
        <v>112</v>
      </c>
      <c r="D44" t="s">
        <v>179</v>
      </c>
      <c r="E44" t="s">
        <v>179</v>
      </c>
      <c r="F44">
        <v>0</v>
      </c>
      <c r="G44">
        <v>0</v>
      </c>
      <c r="H44">
        <v>0</v>
      </c>
      <c r="J44">
        <v>1</v>
      </c>
      <c r="K44">
        <v>0</v>
      </c>
      <c r="L44">
        <v>0</v>
      </c>
      <c r="M44">
        <v>1</v>
      </c>
      <c r="N44">
        <v>1</v>
      </c>
      <c r="P44">
        <v>0</v>
      </c>
      <c r="Q44" t="s">
        <v>172</v>
      </c>
    </row>
    <row r="45" spans="1:17" x14ac:dyDescent="0.25">
      <c r="A45" t="s">
        <v>115</v>
      </c>
      <c r="B45" s="1" t="e">
        <f t="shared" ca="1" si="0"/>
        <v>#VALUE!</v>
      </c>
      <c r="C45" t="s">
        <v>114</v>
      </c>
      <c r="D45" t="s">
        <v>179</v>
      </c>
      <c r="E45" t="s">
        <v>180</v>
      </c>
      <c r="F45">
        <v>0</v>
      </c>
      <c r="G45">
        <v>0</v>
      </c>
      <c r="H45">
        <v>0</v>
      </c>
      <c r="I45">
        <v>1</v>
      </c>
      <c r="J45">
        <v>0</v>
      </c>
      <c r="K45">
        <v>1</v>
      </c>
      <c r="L45">
        <v>0</v>
      </c>
      <c r="M45">
        <v>0</v>
      </c>
      <c r="N45">
        <v>1</v>
      </c>
      <c r="P45">
        <v>0</v>
      </c>
      <c r="Q45" t="s">
        <v>150</v>
      </c>
    </row>
    <row r="46" spans="1:17" x14ac:dyDescent="0.25">
      <c r="A46" t="s">
        <v>116</v>
      </c>
      <c r="B46" s="1" t="e">
        <f t="shared" ca="1" si="0"/>
        <v>#VALUE!</v>
      </c>
      <c r="C46" t="s">
        <v>117</v>
      </c>
      <c r="D46" t="s">
        <v>179</v>
      </c>
      <c r="E46" t="s">
        <v>180</v>
      </c>
      <c r="F46">
        <v>1</v>
      </c>
      <c r="G46">
        <v>0</v>
      </c>
      <c r="H46">
        <v>0</v>
      </c>
      <c r="I46">
        <v>0</v>
      </c>
      <c r="J46">
        <v>0</v>
      </c>
      <c r="K46">
        <v>1</v>
      </c>
      <c r="L46">
        <v>0</v>
      </c>
      <c r="M46">
        <v>0</v>
      </c>
      <c r="N46">
        <v>1</v>
      </c>
      <c r="P46">
        <v>0</v>
      </c>
      <c r="Q46" t="s">
        <v>150</v>
      </c>
    </row>
    <row r="47" spans="1:17" x14ac:dyDescent="0.25">
      <c r="A47" s="1" t="s">
        <v>118</v>
      </c>
      <c r="B47" s="1" t="e">
        <f t="shared" ca="1" si="0"/>
        <v>#VALUE!</v>
      </c>
      <c r="C47" t="s">
        <v>119</v>
      </c>
      <c r="D47" t="s">
        <v>179</v>
      </c>
      <c r="E47" t="s">
        <v>180</v>
      </c>
      <c r="H47">
        <v>1</v>
      </c>
      <c r="N47">
        <v>1</v>
      </c>
      <c r="P47">
        <v>0</v>
      </c>
      <c r="Q47" t="s">
        <v>176</v>
      </c>
    </row>
    <row r="48" spans="1:17" x14ac:dyDescent="0.25">
      <c r="A48" s="1" t="s">
        <v>121</v>
      </c>
      <c r="B48" s="1" t="e">
        <f t="shared" ca="1" si="0"/>
        <v>#VALUE!</v>
      </c>
      <c r="C48" t="s">
        <v>120</v>
      </c>
      <c r="D48" t="s">
        <v>179</v>
      </c>
      <c r="E48" t="s">
        <v>180</v>
      </c>
      <c r="F48">
        <v>1</v>
      </c>
      <c r="G48" t="s">
        <v>122</v>
      </c>
      <c r="H48" t="s">
        <v>122</v>
      </c>
      <c r="I48">
        <v>1</v>
      </c>
      <c r="J48">
        <v>0</v>
      </c>
      <c r="K48">
        <v>1</v>
      </c>
      <c r="L48">
        <v>0</v>
      </c>
      <c r="M48">
        <v>0</v>
      </c>
      <c r="N48">
        <v>1</v>
      </c>
      <c r="P48">
        <v>1</v>
      </c>
      <c r="Q48" t="s">
        <v>177</v>
      </c>
    </row>
    <row r="49" spans="1:17" x14ac:dyDescent="0.25">
      <c r="A49" s="1" t="s">
        <v>129</v>
      </c>
      <c r="B49" s="1" t="e">
        <f t="shared" ca="1" si="0"/>
        <v>#VALUE!</v>
      </c>
      <c r="C49" t="s">
        <v>128</v>
      </c>
      <c r="D49" t="s">
        <v>179</v>
      </c>
      <c r="E49" t="s">
        <v>180</v>
      </c>
      <c r="F49">
        <v>0</v>
      </c>
      <c r="G49">
        <v>0</v>
      </c>
      <c r="H49">
        <v>1</v>
      </c>
      <c r="I49">
        <v>0</v>
      </c>
      <c r="J49">
        <v>0</v>
      </c>
      <c r="K49">
        <v>1</v>
      </c>
      <c r="L49">
        <v>0</v>
      </c>
      <c r="M49">
        <v>1</v>
      </c>
      <c r="N49">
        <v>1</v>
      </c>
      <c r="P49">
        <v>0</v>
      </c>
      <c r="Q49" t="s">
        <v>178</v>
      </c>
    </row>
    <row r="50" spans="1:17" x14ac:dyDescent="0.25">
      <c r="A50" s="1" t="s">
        <v>138</v>
      </c>
      <c r="B50" s="1" t="e">
        <f t="shared" ca="1" si="0"/>
        <v>#VALUE!</v>
      </c>
      <c r="C50" t="s">
        <v>137</v>
      </c>
      <c r="D50" t="s">
        <v>179</v>
      </c>
      <c r="E50" t="s">
        <v>180</v>
      </c>
      <c r="F50">
        <v>0</v>
      </c>
      <c r="G50">
        <v>0</v>
      </c>
      <c r="H50">
        <v>1</v>
      </c>
      <c r="I50">
        <v>0</v>
      </c>
      <c r="J50">
        <v>0</v>
      </c>
      <c r="K50">
        <v>1</v>
      </c>
      <c r="L50">
        <v>0</v>
      </c>
      <c r="M50">
        <v>0</v>
      </c>
      <c r="N50">
        <v>1</v>
      </c>
      <c r="P50">
        <v>0</v>
      </c>
      <c r="Q50" t="s">
        <v>175</v>
      </c>
    </row>
    <row r="51" spans="1:17" x14ac:dyDescent="0.25">
      <c r="B51" s="1" t="e">
        <f t="shared" ca="1" si="0"/>
        <v>#VALUE!</v>
      </c>
      <c r="C51" t="s">
        <v>123</v>
      </c>
      <c r="D51" t="s">
        <v>179</v>
      </c>
      <c r="E51" t="s">
        <v>66</v>
      </c>
      <c r="F51">
        <v>0</v>
      </c>
      <c r="G51">
        <v>0</v>
      </c>
      <c r="H51">
        <v>0</v>
      </c>
      <c r="I51">
        <v>1</v>
      </c>
      <c r="J51">
        <v>0</v>
      </c>
      <c r="K51">
        <v>1</v>
      </c>
      <c r="L51">
        <v>0</v>
      </c>
      <c r="M51">
        <v>0</v>
      </c>
      <c r="N51">
        <v>1</v>
      </c>
      <c r="P51">
        <v>0</v>
      </c>
      <c r="Q51" t="s">
        <v>167</v>
      </c>
    </row>
    <row r="52" spans="1:17" x14ac:dyDescent="0.25">
      <c r="B52" s="1" t="e">
        <f t="shared" ca="1" si="0"/>
        <v>#VALUE!</v>
      </c>
      <c r="C52" t="s">
        <v>125</v>
      </c>
      <c r="D52" t="s">
        <v>179</v>
      </c>
      <c r="E52" t="s">
        <v>179</v>
      </c>
      <c r="F52">
        <v>1</v>
      </c>
      <c r="G52">
        <v>1</v>
      </c>
      <c r="H52">
        <v>1</v>
      </c>
      <c r="I52">
        <v>0</v>
      </c>
      <c r="J52">
        <v>0</v>
      </c>
      <c r="K52">
        <v>0</v>
      </c>
      <c r="L52">
        <v>0</v>
      </c>
      <c r="M52">
        <v>1</v>
      </c>
      <c r="P52">
        <v>0</v>
      </c>
      <c r="Q52" t="s">
        <v>166</v>
      </c>
    </row>
    <row r="53" spans="1:17" x14ac:dyDescent="0.25">
      <c r="B53" s="1" t="e">
        <f t="shared" ca="1" si="0"/>
        <v>#VALUE!</v>
      </c>
      <c r="C53" t="s">
        <v>124</v>
      </c>
      <c r="D53" t="s">
        <v>179</v>
      </c>
      <c r="E53" t="s">
        <v>179</v>
      </c>
      <c r="F53">
        <v>1</v>
      </c>
      <c r="G53">
        <v>0</v>
      </c>
      <c r="H53">
        <v>1</v>
      </c>
      <c r="I53">
        <v>0</v>
      </c>
      <c r="J53">
        <v>0</v>
      </c>
      <c r="K53">
        <v>1</v>
      </c>
      <c r="L53">
        <v>0</v>
      </c>
      <c r="M53">
        <v>1</v>
      </c>
      <c r="N53">
        <v>1</v>
      </c>
      <c r="P53">
        <v>1</v>
      </c>
      <c r="Q53" t="s">
        <v>165</v>
      </c>
    </row>
    <row r="54" spans="1:17" x14ac:dyDescent="0.25">
      <c r="B54" s="1" t="e">
        <f ca="1">HYPERLINK(LEFT($B$1,SEARCH("\[",$B$1)) &amp; "Literatur\" &amp; C54,"Datei öffnen")</f>
        <v>#VALUE!</v>
      </c>
      <c r="C54" t="s">
        <v>140</v>
      </c>
      <c r="D54" t="s">
        <v>179</v>
      </c>
      <c r="E54" t="s">
        <v>180</v>
      </c>
      <c r="Q54" t="s">
        <v>173</v>
      </c>
    </row>
    <row r="55" spans="1:17" x14ac:dyDescent="0.25">
      <c r="A55" t="s">
        <v>144</v>
      </c>
      <c r="B55" s="1" t="e">
        <f ca="1">HYPERLINK(LEFT($B$1,SEARCH("\[",$B$1)) &amp; "Literatur\" &amp; C55,"Datei öffnen")</f>
        <v>#VALUE!</v>
      </c>
      <c r="C55" t="s">
        <v>145</v>
      </c>
      <c r="D55" t="s">
        <v>179</v>
      </c>
      <c r="E55" t="s">
        <v>180</v>
      </c>
      <c r="F55">
        <v>1</v>
      </c>
      <c r="G55">
        <v>0</v>
      </c>
      <c r="H55">
        <v>0</v>
      </c>
      <c r="I55">
        <v>0</v>
      </c>
      <c r="J55">
        <v>1</v>
      </c>
      <c r="K55">
        <v>0</v>
      </c>
      <c r="L55">
        <v>0</v>
      </c>
      <c r="M55">
        <v>1</v>
      </c>
      <c r="N55">
        <v>0</v>
      </c>
      <c r="P55">
        <v>1</v>
      </c>
      <c r="Q55" t="s">
        <v>174</v>
      </c>
    </row>
    <row r="56" spans="1:17" x14ac:dyDescent="0.25">
      <c r="B56" s="1"/>
    </row>
    <row r="58" spans="1:17" x14ac:dyDescent="0.25">
      <c r="A58" t="s">
        <v>181</v>
      </c>
      <c r="C58" s="1"/>
    </row>
    <row r="59" spans="1:17" x14ac:dyDescent="0.25">
      <c r="C59" s="1"/>
    </row>
    <row r="60" spans="1:17" x14ac:dyDescent="0.25">
      <c r="C60" s="1"/>
    </row>
    <row r="61" spans="1:17" x14ac:dyDescent="0.25">
      <c r="C61" s="1"/>
    </row>
  </sheetData>
  <conditionalFormatting sqref="E58:E79 E2:E55">
    <cfRule type="containsText" dxfId="1" priority="4" operator="containsText" text="yes">
      <formula>NOT(ISERROR(SEARCH("yes",E2)))</formula>
    </cfRule>
  </conditionalFormatting>
  <conditionalFormatting sqref="F2:N53 P58:P61 F58:N61 F55:N55">
    <cfRule type="cellIs" dxfId="0" priority="2" operator="equal">
      <formula>1</formula>
    </cfRule>
  </conditionalFormatting>
  <hyperlinks>
    <hyperlink ref="A2" location="'58Bae'!A1" display="58Bae"/>
    <hyperlink ref="A3" location="'61Bec'!A1" display="61Bec"/>
    <hyperlink ref="A4" location="'06Cha'!A1" display="06Cha"/>
    <hyperlink ref="A5" location="'88Col'!A1" display="88Col"/>
    <hyperlink ref="A6" location="'11Con'!A1" display="11Con"/>
    <hyperlink ref="A8" location="'81Bul'!A1" display="81Bul"/>
    <hyperlink ref="A10" location="'97Oka'!A1" display="97Oka"/>
    <hyperlink ref="A12" location="'73Fil'!A1" display="73Fil"/>
    <hyperlink ref="A13" location="'12Iso'!A1" display="12Iso"/>
    <hyperlink ref="A14" location="'05Jaa'!A1" display="05Jaa"/>
    <hyperlink ref="A15" location="'37Jen'!A1" display="31Jen_a"/>
    <hyperlink ref="A17" location="'34Jet'!A1" display="34Jet"/>
    <hyperlink ref="A18" location="'82Kar'!A1" display="82Kar"/>
    <hyperlink ref="A19" location="'87Kat'!A1" display="87Kat"/>
    <hyperlink ref="A21" location="'94Pei'!A1" display="94Pei"/>
    <hyperlink ref="A22" location="'70Pug'!A1" display="70Pug"/>
    <hyperlink ref="A23" location="'02Sal'!A1" display="02Sal"/>
    <hyperlink ref="A24" location="'99Sud'!A1" display="99Sud"/>
    <hyperlink ref="A25" location="'51Tay'!A1" display="51Tay"/>
    <hyperlink ref="A26" location="'98Thi'!A1" display="98Thi"/>
    <hyperlink ref="A27" location="'95Tom'!A1" display="95Tom"/>
    <hyperlink ref="A29" location="'06Vre'!A1" display="06Vre"/>
    <hyperlink ref="A30" location="'95Wat'!A1" display="95Wat"/>
    <hyperlink ref="A31" location="'58Pan'!A1" display="58Pan"/>
    <hyperlink ref="A32" location="'72Yuk'!A1" display="72Yuk"/>
    <hyperlink ref="A33" location="'69Hir'!A1" display="69Hir"/>
    <hyperlink ref="A34" location="'73Maz'!A1" display="73Maz"/>
    <hyperlink ref="A35" location="'57Wil'!A1" display="57Wil"/>
    <hyperlink ref="A36" location="'63Den'!A1" display="63Den"/>
    <hyperlink ref="A37" location="'72Wal'!A1" display="72Wag"/>
    <hyperlink ref="A38" location="'93Ich'!A1" display="93Ich"/>
    <hyperlink ref="H1" location="'Gibbs-Energien'!A1" display="Gibbs-Energien"/>
    <hyperlink ref="A44" location="'04Chv'!A1" display="04Chv"/>
    <hyperlink ref="A39" location="'69Gil'!A1" display="69Gil"/>
    <hyperlink ref="A40" location="'73Rao'!A1" display="73Rao"/>
    <hyperlink ref="A42" location="'60Kub'!A1" display="60Kub"/>
    <hyperlink ref="A48" location="'62Sve'!A1" display="62Sve"/>
    <hyperlink ref="A11" location="'92Lee'!A1" display="92Lee"/>
    <hyperlink ref="A49" location="'83Bat'!A1" display="83Bat"/>
    <hyperlink ref="A47" location="'72McC'!A1" display="72McC"/>
    <hyperlink ref="A50" location="'93Chi'!A1" display="93Chi"/>
  </hyperlinks>
  <pageMargins left="0.70866141732283472" right="0.70866141732283472" top="0.78740157480314965" bottom="0.78740157480314965" header="0.31496062992125984" footer="0.31496062992125984"/>
  <pageSetup paperSize="9" orientation="portrait" r:id="rId1"/>
  <legacyDrawing r:id="rId2"/>
  <extLst>
    <ext xmlns:x14="http://schemas.microsoft.com/office/spreadsheetml/2009/9/main" uri="{78C0D931-6437-407d-A8EE-F0AAD7539E65}">
      <x14:conditionalFormattings>
        <x14:conditionalFormatting xmlns:xm="http://schemas.microsoft.com/office/excel/2006/main">
          <x14:cfRule type="iconSet" priority="19" id="{41F6CAE6-0DD5-4CD3-B908-4C1E4FD0B19E}">
            <x14:iconSet iconSet="3Symbols" showValue="0" custom="1">
              <x14:cfvo type="percent">
                <xm:f>0</xm:f>
              </x14:cfvo>
              <x14:cfvo type="num">
                <xm:f>0</xm:f>
              </x14:cfvo>
              <x14:cfvo type="num">
                <xm:f>1</xm:f>
              </x14:cfvo>
              <x14:cfIcon iconSet="NoIcons" iconId="0"/>
              <x14:cfIcon iconSet="3Symbols" iconId="0"/>
              <x14:cfIcon iconSet="3Symbols" iconId="2"/>
            </x14:iconSet>
          </x14:cfRule>
          <xm:sqref>P2:P53 P58:P274 P55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A40"/>
  <sheetViews>
    <sheetView workbookViewId="0">
      <selection activeCell="A4" sqref="A1:A4"/>
    </sheetView>
  </sheetViews>
  <sheetFormatPr defaultColWidth="11.42578125" defaultRowHeight="15" x14ac:dyDescent="0.25"/>
  <cols>
    <col min="1" max="1" width="176.28515625" customWidth="1"/>
    <col min="2" max="28" width="174.42578125" customWidth="1"/>
  </cols>
  <sheetData>
    <row r="1" spans="1:1" x14ac:dyDescent="0.25">
      <c r="A1" s="5" t="s">
        <v>127</v>
      </c>
    </row>
    <row r="2" spans="1:1" x14ac:dyDescent="0.25">
      <c r="A2" s="5" t="s">
        <v>81</v>
      </c>
    </row>
    <row r="3" spans="1:1" x14ac:dyDescent="0.25">
      <c r="A3" s="5" t="s">
        <v>126</v>
      </c>
    </row>
    <row r="5" spans="1:1" x14ac:dyDescent="0.25">
      <c r="A5" s="8" t="s">
        <v>83</v>
      </c>
    </row>
    <row r="7" spans="1:1" x14ac:dyDescent="0.25">
      <c r="A7" s="4" t="s">
        <v>99</v>
      </c>
    </row>
    <row r="8" spans="1:1" x14ac:dyDescent="0.25">
      <c r="A8" s="4" t="s">
        <v>96</v>
      </c>
    </row>
    <row r="9" spans="1:1" x14ac:dyDescent="0.25">
      <c r="A9" s="6" t="s">
        <v>92</v>
      </c>
    </row>
    <row r="10" spans="1:1" x14ac:dyDescent="0.25">
      <c r="A10" s="4" t="s">
        <v>91</v>
      </c>
    </row>
    <row r="11" spans="1:1" x14ac:dyDescent="0.25">
      <c r="A11" s="4" t="s">
        <v>90</v>
      </c>
    </row>
    <row r="12" spans="1:1" x14ac:dyDescent="0.25">
      <c r="A12" s="4" t="s">
        <v>89</v>
      </c>
    </row>
    <row r="13" spans="1:1" x14ac:dyDescent="0.25">
      <c r="A13" s="3" t="s">
        <v>88</v>
      </c>
    </row>
    <row r="14" spans="1:1" x14ac:dyDescent="0.25">
      <c r="A14" s="3" t="s">
        <v>65</v>
      </c>
    </row>
    <row r="15" spans="1:1" x14ac:dyDescent="0.25">
      <c r="A15" s="3" t="s">
        <v>79</v>
      </c>
    </row>
    <row r="16" spans="1:1" x14ac:dyDescent="0.25">
      <c r="A16" s="3" t="s">
        <v>82</v>
      </c>
    </row>
    <row r="17" spans="1:1" x14ac:dyDescent="0.25">
      <c r="A17" s="7" t="s">
        <v>86</v>
      </c>
    </row>
    <row r="18" spans="1:1" x14ac:dyDescent="0.25">
      <c r="A18" s="7" t="s">
        <v>85</v>
      </c>
    </row>
    <row r="19" spans="1:1" x14ac:dyDescent="0.25">
      <c r="A19" s="7" t="s">
        <v>78</v>
      </c>
    </row>
    <row r="20" spans="1:1" x14ac:dyDescent="0.25">
      <c r="A20" s="7" t="s">
        <v>57</v>
      </c>
    </row>
    <row r="21" spans="1:1" x14ac:dyDescent="0.25">
      <c r="A21" s="7" t="s">
        <v>80</v>
      </c>
    </row>
    <row r="22" spans="1:1" x14ac:dyDescent="0.25">
      <c r="A22" s="7" t="s">
        <v>100</v>
      </c>
    </row>
    <row r="23" spans="1:1" x14ac:dyDescent="0.25">
      <c r="A23" s="7" t="s">
        <v>93</v>
      </c>
    </row>
    <row r="24" spans="1:1" x14ac:dyDescent="0.25">
      <c r="A24" s="7" t="s">
        <v>73</v>
      </c>
    </row>
    <row r="25" spans="1:1" x14ac:dyDescent="0.25">
      <c r="A25" s="7" t="s">
        <v>72</v>
      </c>
    </row>
    <row r="37" spans="1:1" x14ac:dyDescent="0.25">
      <c r="A37" t="s">
        <v>87</v>
      </c>
    </row>
    <row r="38" spans="1:1" x14ac:dyDescent="0.25">
      <c r="A38" t="s">
        <v>61</v>
      </c>
    </row>
    <row r="39" spans="1:1" x14ac:dyDescent="0.25">
      <c r="A39" t="s">
        <v>56</v>
      </c>
    </row>
    <row r="40" spans="1:1" x14ac:dyDescent="0.25">
      <c r="A40" t="s">
        <v>84</v>
      </c>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Index</vt:lpstr>
      <vt:lpstr>zuBesorgen</vt:lpstr>
      <vt:lpstr>Index!Print_Titles</vt:lpstr>
    </vt:vector>
  </TitlesOfParts>
  <Company>Rechen- und Kommunikationszentrum</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Florian Tang</dc:creator>
  <cp:lastModifiedBy>Bengt Hallstedt</cp:lastModifiedBy>
  <cp:lastPrinted>2013-03-26T08:56:20Z</cp:lastPrinted>
  <dcterms:created xsi:type="dcterms:W3CDTF">2013-03-21T07:47:37Z</dcterms:created>
  <dcterms:modified xsi:type="dcterms:W3CDTF">2017-07-05T07:25:19Z</dcterms:modified>
</cp:coreProperties>
</file>